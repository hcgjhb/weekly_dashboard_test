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AviBhandari\Downloads\Dashboard\"/>
    </mc:Choice>
  </mc:AlternateContent>
  <xr:revisionPtr revIDLastSave="0" documentId="13_ncr:1_{87F8EF8A-6ADC-401A-9B07-6D1FA56D2AA5}" xr6:coauthVersionLast="47" xr6:coauthVersionMax="47" xr10:uidLastSave="{00000000-0000-0000-0000-000000000000}"/>
  <bookViews>
    <workbookView xWindow="-110" yWindow="-110" windowWidth="19420" windowHeight="10300" tabRatio="404" xr2:uid="{2C9B986E-17D8-4A05-A1C7-2E7CB75E604F}"/>
  </bookViews>
  <sheets>
    <sheet name="SA Outage" sheetId="6" r:id="rId1"/>
    <sheet name="POLARIN" sheetId="7" r:id="rId2"/>
    <sheet name="Priority Definition" sheetId="3" r:id="rId3"/>
  </sheets>
  <definedNames>
    <definedName name="_xlnm._FilterDatabase" localSheetId="1" hidden="1">POLARIN!$A$1:$O$174</definedName>
    <definedName name="_xlnm._FilterDatabase" localSheetId="2" hidden="1">'Priority Definition'!$A$1:$B$4</definedName>
    <definedName name="_xlnm._FilterDatabase" localSheetId="0" hidden="1">'SA Outage'!$A$1:$P$244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2" i="6" l="1"/>
  <c r="P196" i="6"/>
  <c r="G148" i="7"/>
  <c r="G147" i="7"/>
</calcChain>
</file>

<file path=xl/sharedStrings.xml><?xml version="1.0" encoding="utf-8"?>
<sst xmlns="http://schemas.openxmlformats.org/spreadsheetml/2006/main" count="3758" uniqueCount="1667">
  <si>
    <t>Sr. No.</t>
  </si>
  <si>
    <t>Severity</t>
  </si>
  <si>
    <t>Month</t>
  </si>
  <si>
    <t>Down Time</t>
  </si>
  <si>
    <t>Uptime</t>
  </si>
  <si>
    <t>MTTR</t>
  </si>
  <si>
    <t>MTTR in Mints</t>
  </si>
  <si>
    <t>Customer Name</t>
  </si>
  <si>
    <t>RFO</t>
  </si>
  <si>
    <t>Fault Type</t>
  </si>
  <si>
    <t>Network</t>
  </si>
  <si>
    <t>Required Action / Taken</t>
  </si>
  <si>
    <t>Owner</t>
  </si>
  <si>
    <t>Network Incident</t>
  </si>
  <si>
    <t>Transport Circuit Id</t>
  </si>
  <si>
    <t>S1</t>
  </si>
  <si>
    <t>Jan-26</t>
  </si>
  <si>
    <t>01-01-2026
15:18:15
15:20:32
 15:23:44
 15:25:46</t>
  </si>
  <si>
    <t>01-01-2026
15:18:41
15:20:58
15:24:41
15:26:53</t>
  </si>
  <si>
    <t>Google (5.62T)
(GPX-1 to Kalwa)</t>
  </si>
  <si>
    <t>Fiber cut in subnet C4 since 15:06 IST on 1st Jan and optical fluctuation observed in Span (Subnet C3) as per mentioned timestamps. As per the update from field support team, no activity was conducted on Subnet C3. Cause of span fluctuation is unidentified.</t>
  </si>
  <si>
    <t>Fiber</t>
  </si>
  <si>
    <t>MOFN</t>
  </si>
  <si>
    <t>S2</t>
  </si>
  <si>
    <t>02-01-2026
00:44:23</t>
  </si>
  <si>
    <t>02-01-2026
04:13:23</t>
  </si>
  <si>
    <t>Google(6*100G)
(CHN MOFN between Netmagic to Annasalai )</t>
  </si>
  <si>
    <t>Optics Controller Coherent, Port Minor alarm was present on SFM6 Card at Chennai Netmagic location. Transponder Card was replaced and alarm got cleared.</t>
  </si>
  <si>
    <t>Hardware</t>
  </si>
  <si>
    <t>000780, 000777, 000778, 000781, 000779, 000782</t>
  </si>
  <si>
    <t>02-01-2026
10:04:00</t>
  </si>
  <si>
    <t>02-01-2026
10:14:00</t>
  </si>
  <si>
    <t xml:space="preserve">Ongoing Fiber cut in link-2 between Vermana Vadodara to Channi bridge since 09:47 hrs IST. Fiber cut at Mumbai Triangle section between IBM to GPX2 at 10:04 hrs IST. Service rerouted via alternate path. </t>
  </si>
  <si>
    <t>Smartnet</t>
  </si>
  <si>
    <t>GPX-2 to IBM is shifted from UG to OPGW</t>
  </si>
  <si>
    <t>000137, 000138, 000139, 000140, 000141, 000290, 000291, 001321, 000998, 000125, 001177, 001178, 001263, 001264, 001322</t>
  </si>
  <si>
    <t>S3</t>
  </si>
  <si>
    <t>03-01-2026
02:31:00</t>
  </si>
  <si>
    <t>03-01-2026
03:22:43</t>
  </si>
  <si>
    <t>Riot Games (1*10G MUM-DEL Offnet Circuit)</t>
  </si>
  <si>
    <t>Fiber cut in supplier TCL network. Path-1 was affected between Delhi and Vaghodia in the Mavli–Kankroli section, and Path-2 was affected between Mumbai LVSB and Delhi in the Burda–Chitara section.</t>
  </si>
  <si>
    <t xml:space="preserve">003129, </t>
  </si>
  <si>
    <t>06-01-2026
23:30:50</t>
  </si>
  <si>
    <t>06-01-2026
23:31:06</t>
  </si>
  <si>
    <t>Microsoft MAA026
(11.3T)</t>
  </si>
  <si>
    <t>Fluctuation due to JCB activity at on the route. The team was onsite and performed a chamber shifting to avoid any foreseeable damage. This is Sev-4 incident.</t>
  </si>
  <si>
    <t>MAA026</t>
  </si>
  <si>
    <t>07-01-2026
14:11:36
15:35:08</t>
  </si>
  <si>
    <t>07-01-2026
14:17:16
15:41:17</t>
  </si>
  <si>
    <t>00:05:40
00:06:09</t>
  </si>
  <si>
    <t>Edgerede(4*10G MUM Metro)</t>
  </si>
  <si>
    <t>Fiber cut in worker path between GPX2_2 to LVSB at 14:11 IST. Protection port connections were not created in shimlayer automated provisioning. Service restored post worker channel was restored. Worker channel was in reversion at 15:35 IST post fiber cut restored between GPX2_2 to LVSB however the protection port connections were not created in shimlayer automated provisioning. Service restored post worker channel was restored.</t>
  </si>
  <si>
    <t>Fiber + Config Issue</t>
  </si>
  <si>
    <t>007471, 007472, 007473, 007474</t>
  </si>
  <si>
    <t>07-01-2026
12:12:00</t>
  </si>
  <si>
    <t>07-01-2026
12:14:59</t>
  </si>
  <si>
    <t>Amazon(5*100G MUM-HYD)</t>
  </si>
  <si>
    <t>Fiber cut in Worker path betwen HYBD STT Madhupur to HYBD CtrlS S_431 in NLD segment. Protection channel on reversion state post span degradation cleared ongoing on the protection path of Mumbai-Hyderabad between Chittoor to Palamaneru. S_439_2.</t>
  </si>
  <si>
    <t>000142, 000143, 000144, 000145, 000147</t>
  </si>
  <si>
    <t>08-01-2026
16:57:14</t>
  </si>
  <si>
    <t>08-01-2026
16:58:14</t>
  </si>
  <si>
    <t>MUM-CHN: Akamai(1*100G), IDFC(1*10G), Netflix(1*100G), PHONE PE(2*10G), SIFY CORP(2*10G), Telstra (3*100G), Wells Fargo(1*10G), Zenlayer(10G) CHN METRO: Flipkart(1*10G) 
BGL-CHN:Phonepe (2*10G)</t>
  </si>
  <si>
    <t>Fiber paths down betweeen Annasalai to NTT_Ambattur (S810) and Annasalai to Netmagic(S811). Service rerouted via restoration path. As per the observation, Planned event ongoing for span loss rectification (Subnet N64). Cross connects of the other subnets (S810, S811) were disturbed. As per field team, S810 and  S811 were disturbed due to ants infested joint kit while opening to access N64 link. Fiber core broke as fiber deteriorated inside ant bit joint closure tray. This link as provided day one by project/ planning commonality at zero MH outside VSNL Annasalai. (3 paths in 2 cross connect at last mile)</t>
  </si>
  <si>
    <t>001099, 000393, 001098, 001541, 001551, 001087, 001241, 001331, 001430, 001499, 001289, 000731, 000727, 001542, 001552</t>
  </si>
  <si>
    <t>08-01-2026
17:00:14</t>
  </si>
  <si>
    <t>CHN Metro: Microsoft (8*100G), NTT(2*10G)
CHN-KOL: Akamai(1*100G)</t>
  </si>
  <si>
    <t>001432, 001431, 001434, 001433, 001372, 001371, 001373, 001374, 001120, 000932, 001206</t>
  </si>
  <si>
    <t>08-01-2026
17:04:14</t>
  </si>
  <si>
    <t>MUM-CHN: Amazon(4*100G), Telstra(1*100G)
CHN Metro: Microsoft(4*100G)</t>
  </si>
  <si>
    <t>000151, 000150, 000148, 000149, 001380, 000348, 000347, 000346, 000345</t>
  </si>
  <si>
    <t>08-01-2026
17:46:14</t>
  </si>
  <si>
    <t>CHN Metro: Microsoft(4*100G)</t>
  </si>
  <si>
    <t>Fiber paths down betweeen Annasalai to NTT_Ambattur (S810) and Annasalai to Netmagic (S811). Service remains down due to frequency was not available. Services restored post manually rerouting the channels and Cold restart to transponder cards on both paths at Annasalai.</t>
  </si>
  <si>
    <t>001534, 001533, 001531, 001532</t>
  </si>
  <si>
    <t>09-01-2026
15:22:00</t>
  </si>
  <si>
    <t>09-01-2026
17:26:00</t>
  </si>
  <si>
    <t>Fiber cut between Langhanaj to Shihi Village since 09:39 IST and fiber cut between Jambudi to Devgarhbaria at 15:22 IST. Restored post fiber cut restored between Langhanaj to Shihi Village.</t>
  </si>
  <si>
    <t>10-01-2026
16:29:53</t>
  </si>
  <si>
    <t>10-01-2026
16:31:50</t>
  </si>
  <si>
    <t>Bloomberg(1*10G MUM Metro)</t>
  </si>
  <si>
    <t>Protection SNC was off home and was taking preferred route than its actual route. Worker path affected due to fiber cut between BKC to CRTLS_2 (S62) and protection path affecte due to fiber cut between LALBAUG to CRTLS_1 (S60_2).</t>
  </si>
  <si>
    <t xml:space="preserve">001126, </t>
  </si>
  <si>
    <t>10-01-2026
20:30:18</t>
  </si>
  <si>
    <t>10-01-2026
20:30:38</t>
  </si>
  <si>
    <t>Google (4.42T MUM MOFN)
BOM35 Kalwa to BOM18 Chandivali</t>
  </si>
  <si>
    <t>Observed Subnet I4 path was down due to high degradation and I3 path span fluctuated at 20:30:18 IST to 20:30:38 (20 sec)</t>
  </si>
  <si>
    <t>11-01-2026
23:54:18</t>
  </si>
  <si>
    <t>11-01-2026
23:59:44</t>
  </si>
  <si>
    <t>META (3*100G DEL-GUJ)</t>
  </si>
  <si>
    <t>Worker SNC on reversion state post span degradtion clerared between Gift City MMR to Gift City DC  (S337). Protection SNC on reversion state post fiber cut between Shihi Village to Langhanaj (S81_2) due to CHN-30961.</t>
  </si>
  <si>
    <t>001384, 001385, 001386</t>
  </si>
  <si>
    <t>13-01-2026
17:03:00</t>
  </si>
  <si>
    <t>13-01-2026
20:54:00</t>
  </si>
  <si>
    <t>Sify (MUM-KOL 1*100G)</t>
  </si>
  <si>
    <t>Initially LOF alarm was observed at client handoff port of Sify Airoli from customer end and same was proactively reporeted to customer to check at their end. Joint troubleshooting was planned with customer. Our FE reached and self loop test was performed. Alarm was not cleared in Loop, so SFP reset and replacement was done but alarm still persited.
Further, TAC Tx team advised to delete and recreate logical cross conections. Post recreating the cross connection, service got restored at 20:54 IST.</t>
  </si>
  <si>
    <t>Config Issue</t>
  </si>
  <si>
    <t xml:space="preserve">001221, </t>
  </si>
  <si>
    <t>14-01-2026
13:43:00</t>
  </si>
  <si>
    <t>15-01-2026
06:40:00</t>
  </si>
  <si>
    <t>00:13:00
00:25:00</t>
  </si>
  <si>
    <t>Amazon(8*100G)
(BOM146 to BOM60)</t>
  </si>
  <si>
    <t>Amazon 8*100G Mumbai MOFN services are down from since 13:43 IST on 14th Jan, Observing Loss of clock at BOM60-wdm-PP41-s5  PTP 1-1. Mail sent at 13:56 IST. FE got access to cage at 06:15 IST. Alarm cleared at 06:40 IST on 15th Jan 2026 post card replacement. MTTR calculated between outage start time to access communication mail.</t>
  </si>
  <si>
    <t>004033 to 004040</t>
  </si>
  <si>
    <t>16-01-2026
09:51:00</t>
  </si>
  <si>
    <t>19-01-2026
16:31:00</t>
  </si>
  <si>
    <t>Amazon(8*100G)
(BOM119 to BOM76)</t>
  </si>
  <si>
    <t>Amazon 8*100G Mumbai MOFN services are down from since 09:51 IST on 16th Jan, Observing Loss of clock at BOM119-wdm-PP59-s3 PTP 1-1. Mail sent at 09:58 IST for access and traffic drain. Traffic was drained and access was received. Alarm was cleared post card replacement at 16:31 IST.</t>
  </si>
  <si>
    <t>006869 to 006876</t>
  </si>
  <si>
    <t>18-01-2026
05:52:00</t>
  </si>
  <si>
    <t>18-01-2026
06:26:00</t>
  </si>
  <si>
    <t>Link-3 was affected due to high fiber loss between Guhagarh to Dapoli. At reported timestamps fiber rectification was performed between Guhagarh to Dapoli in Link-3</t>
  </si>
  <si>
    <t>001200, 001271</t>
  </si>
  <si>
    <t>21-01-2026
07:01:00</t>
  </si>
  <si>
    <t>21-01-2026
16:00:00</t>
  </si>
  <si>
    <t>Amazon 8*100G Mumbai MOFN services are down from since 07:01 IST on 21st Jan, Observing Loss of clock at BOM119-wdm-PP61-s5 PTP 1-1. Mail sent at 07:46 IST for access and traffic drain. Traffic was drained and access was received. Alarm was cleared post card replacement at 16:00 IST.</t>
  </si>
  <si>
    <t>006561 to 006568</t>
  </si>
  <si>
    <t>21-01-2026
23:43:00</t>
  </si>
  <si>
    <t>22-01-2026
14:07:00</t>
  </si>
  <si>
    <t>Amazon(20*10G)
(BOM53 to 146)</t>
  </si>
  <si>
    <t>Amazon 20*10G Mumbai MOFN services are down from since 23:43 IST on 21st Jan, Observing XCVR Failed alarm at BOM146-wdm-PP39-s2 PTP 1-1. Mail sent at 00:29 IST for access and traffic drain. Alarm cleared at 14:07 IST on 22nd Jan 2026 post XCVR jack out and jack in done at BOM146.</t>
  </si>
  <si>
    <t>003131 to 003150</t>
  </si>
  <si>
    <t>22-01-2026
17:18:00</t>
  </si>
  <si>
    <t>22-01-2026
23:33:00</t>
  </si>
  <si>
    <t>Amazon (16*100G)
(BOM119 to BOM62)</t>
  </si>
  <si>
    <t>16*100G services affected due to los of channel alarm on BOM62-wdm-PP60-s4  since 17:18 IST on 22nd Jan 2026. Node visibility of BOM119 was lost. Access mail was sent to amazon team at 17:41 IST. FE got access to amazon cage at 23:06 IST. Alarm got cleared at 23:33 post replacing the controller module card.</t>
  </si>
  <si>
    <t>006417 to 006432</t>
  </si>
  <si>
    <t>23-01-2026
22:35:00</t>
  </si>
  <si>
    <t>24-01-2026
07:26:00</t>
  </si>
  <si>
    <t>Affected due to DLE card fault at Chitradurga site. Services restored post card replacement.</t>
  </si>
  <si>
    <t>24-01-2026
06:22:12</t>
  </si>
  <si>
    <t>24-01-2026
06:27:38</t>
  </si>
  <si>
    <t>Circuit Pack fail alarm at IP6 Chitradurga in NLD Link 03 &amp; Fiber cut in NLD Link 5 &amp; 7 between MN BASAVANAGUDI to Attibele since 24th Jan-26 06:22:12.</t>
  </si>
  <si>
    <t>000744, 000745, 000746, 000747, 000939</t>
  </si>
  <si>
    <t>24-01-2026
07:57:19</t>
  </si>
  <si>
    <t>24-01-2026
07:59:38</t>
  </si>
  <si>
    <t>Work SNC was off home post card issue at Chintradurga &amp; was riding via path Link-4 and link-5. At 06:22 IST, Work SNC was in restoration route due to fiber cut between MN Basavangudi to Attibele at 06:22:12.  At 07:57, work SNC went down due to fiber cut between CTRL-S to Basavangudi( S153). Protect SNC P1 went down due to fiber cut between CTRL-S to Basavangudi( S153).</t>
  </si>
  <si>
    <t xml:space="preserve">000396, </t>
  </si>
  <si>
    <t>24-01-2026
14:59:12</t>
  </si>
  <si>
    <t>24-01-2026
15:04:16</t>
  </si>
  <si>
    <t>Sify(1*100G MUM-KOL), 
Akamai(1*100G CHN-KOL)</t>
  </si>
  <si>
    <t>Planned activity in worker path between Howrah to Tarkeshwar(Due to CHN-31556). Span fluctuation between Chanduati to Jahanabad at 14:59 IST.</t>
  </si>
  <si>
    <t>Fiber + PE</t>
  </si>
  <si>
    <t>As per the discussion, this is OPGW fiber path and experience the outage rarely. No work around suggested by SEG Team and the paths will remain as it is</t>
  </si>
  <si>
    <t>001221, 001247</t>
  </si>
  <si>
    <t>25-01-2026
06:21:00</t>
  </si>
  <si>
    <t>25-01-2026
07:55:00</t>
  </si>
  <si>
    <t>Sify(1*100G HYD-CHN)</t>
  </si>
  <si>
    <t>Power issue at Hyderabad Sify FD. Post power issue was resolved, intercard suspected alarm was observed transponder card. Post cold reset to card, alarm got cleared and service restored</t>
  </si>
  <si>
    <t>Power</t>
  </si>
  <si>
    <t xml:space="preserve">001205, </t>
  </si>
  <si>
    <t>25-01-202
06:21:00</t>
  </si>
  <si>
    <t>25-01-2026
07:04:00</t>
  </si>
  <si>
    <t>Oracle(2*100G HYD-CHN, DEL-HYD)</t>
  </si>
  <si>
    <t>Power issue at Hyderabad Sify FD. Restored post power issue was resolved.</t>
  </si>
  <si>
    <t>001322, 001337</t>
  </si>
  <si>
    <t>25-01-2026
13:37:00</t>
  </si>
  <si>
    <t>25-01-2026
14:47:00</t>
  </si>
  <si>
    <t>Fiber cut in microsoft MOFN network due to drainage activity by Chennai Corproration near MAAA-21. Services restored by temportarily restoring aerial patch. This is Sev-2 incident.</t>
  </si>
  <si>
    <t>25-01-2026
15:19:00</t>
  </si>
  <si>
    <t>Microsoft MAA033
(25.6T)</t>
  </si>
  <si>
    <t>25-01-2026
15:29:00</t>
  </si>
  <si>
    <t>Microsoft MAA034
(25.6T)</t>
  </si>
  <si>
    <t>25-01-2026
15:13:00</t>
  </si>
  <si>
    <t>Microsoft MAA037
(25.8T)</t>
  </si>
  <si>
    <t>25-01-2026
15:15:00</t>
  </si>
  <si>
    <t>Microsoft MAA038
(25.6T)</t>
  </si>
  <si>
    <t>27-01-2026
13:31:00</t>
  </si>
  <si>
    <t>27-01-2026
20:27:00</t>
  </si>
  <si>
    <t>Amazon(16*100G MUM MOFN)
BOM146 to BOM60</t>
  </si>
  <si>
    <t>16*100G services affected due to los of channel alarm on BOM60-wdm-PP41-s3 since 13:31 IST on 27th Jan 2026. Access mail was sent to amazon team at 13:55 IST. FE got access to amazon caage at 19:39 IST. Alarm got cleared at 20:27 IST post card replaced at BOM146.</t>
  </si>
  <si>
    <t>004001 to 004016</t>
  </si>
  <si>
    <t>27-01-2026
22:34:23</t>
  </si>
  <si>
    <t>27-01-2026 
23:26:58</t>
  </si>
  <si>
    <t>Affected due Emergecny planned activity by APAC NOC's third party supplier TELIN. Activity was not notified to India NOC by APAC NOC.</t>
  </si>
  <si>
    <t>Supplier</t>
  </si>
  <si>
    <t>Global DCI</t>
  </si>
  <si>
    <t xml:space="preserve">002908, </t>
  </si>
  <si>
    <t>29-01-2026
22:40:00</t>
  </si>
  <si>
    <t>30-01-2026
00:22:00</t>
  </si>
  <si>
    <t>Earlier rerouted Aerial fiber was disturbed by sudden NHAI boom crane based concreting machine for emergency repair. This aerial was temporarily done on 25th Jan fiber outage. NHAI team completed the concreting, post which the fiber repair was completed. This is Sev-2 incident.</t>
  </si>
  <si>
    <t>30-01-2026
00:46:00</t>
  </si>
  <si>
    <t>30-01-2026
00:45:00</t>
  </si>
  <si>
    <t>29-01-2026
22:53:00</t>
  </si>
  <si>
    <t>30-01-2026
00:44:00</t>
  </si>
  <si>
    <t>30-01-2026
00:41:00</t>
  </si>
  <si>
    <t>Earlier rerouted Aerial fiber was disturbed by sudden NHAI boom crane based concreting machine for emergency repair. This aerial was temporarily done on 25th Jan fiber outage. NHAI team completed the concreting, post which the fiber repair was completed.  This is Sev-2 incident.</t>
  </si>
  <si>
    <t>30-01-2026
00:18:00</t>
  </si>
  <si>
    <t>30-01-2026
00:22:35</t>
  </si>
  <si>
    <t>Microsoft(4*100G CHN Metro)</t>
  </si>
  <si>
    <t>Span degradation in worker path between Annasalai to NTT Ambattur (S810)
Fiber cut between NTT Ambattur to Sify Siruseri (S918) in protection path</t>
  </si>
  <si>
    <t>Feb-26</t>
  </si>
  <si>
    <t>03-02-2026
09:07:00</t>
  </si>
  <si>
    <t>03-02-2026
14:30:00</t>
  </si>
  <si>
    <t>Riot Games(Offnet ILL via supplier TCL)</t>
  </si>
  <si>
    <t>As per supplier TCL, service was shut down by them as PO was not shared by lightstorm for the renewal. PO end date was 31 Dec 2025 and TCL team shut the ports on 21st Jan 26. Service restored post we reported the issue to supplier and ports made up by supplier.</t>
  </si>
  <si>
    <t>ILL</t>
  </si>
  <si>
    <t>091MUMB030036631778_967523</t>
  </si>
  <si>
    <t>04-02-2026
17:46:00</t>
  </si>
  <si>
    <t>04-02-2026
23:04:00</t>
  </si>
  <si>
    <t>00:36:00
00:28:00</t>
  </si>
  <si>
    <t>Microsoft(1*400G) CHN MOFN</t>
  </si>
  <si>
    <t>1*400G service was affected due to Incoming Payload Signal Absent alarm at MAA21 node MAA35 span. Mail was sent to customer at 18:22 IST for access. Access was gained to cage at 22:36 IST. Alarm was cleared at 23:04 IST post patch chord replacement between CISCO and Adva devices at MAA22. This is Sev-4 incident.</t>
  </si>
  <si>
    <t xml:space="preserve">007949,  </t>
  </si>
  <si>
    <t>05-02-2026
02:52:00</t>
  </si>
  <si>
    <t>05-02-2026
03:23:00</t>
  </si>
  <si>
    <t>Affected due to fiber cuts in supplier TCL network between Vijaypur-Jalalpura and Dhakale-Fountain.</t>
  </si>
  <si>
    <t>06-02-2025
11:58:23
12:42:43</t>
  </si>
  <si>
    <t>06-02-2025
11:58:37
12:43:46</t>
  </si>
  <si>
    <t>00:00:14
00:01:03</t>
  </si>
  <si>
    <t>Affected due to fiber cut in momentary span degradation between IP4 Panvel and MUMB CtrlS on the Mumbai–Bangalore NLD section</t>
  </si>
  <si>
    <t>06-02-2026
12:52:36</t>
  </si>
  <si>
    <t>06-02-2026
13:03:36</t>
  </si>
  <si>
    <t>MUM-DEL: Amazon(8*100G)
DEL-HYD: Oracle (1*100G)
MUM-KOL: Vodafone(4*100G)</t>
  </si>
  <si>
    <t>Link-2 was down due to fiber cut between Eklara to Valsad since 08:28 IST and Fiber cut in Link-1 between GPX to IBM at 12:52 IST.</t>
  </si>
  <si>
    <t>As per Prakash Gole, We can shift the channels to S11 as it is shifted to OPGW.</t>
  </si>
  <si>
    <t>000137, 000138, 000139, 000140, 000141, 000160, 000290, 000291, 001266, 001267, 001268, 001269, 001322</t>
  </si>
  <si>
    <t>08-02-2026
14:14:40</t>
  </si>
  <si>
    <t>08-02-2026
14:14:46</t>
  </si>
  <si>
    <t>Flipkart(1*10G CHN Metro)</t>
  </si>
  <si>
    <t>Fiber span degradation between Adani DC to sify tidel park (S822) in worker path and fiber cut in protection path between Adani DC to Ambattur2 (S821)</t>
  </si>
  <si>
    <t xml:space="preserve">000727, </t>
  </si>
  <si>
    <t>08-02-2026
17:19:14</t>
  </si>
  <si>
    <t>08-02-2026
18:33:04</t>
  </si>
  <si>
    <t>MUM-BLR: Phonepe(2*100G), Sify(1*100G), Airtel(2*100G Linear Services)
BLR-PUN:PhonePe(1*10G),</t>
  </si>
  <si>
    <t>Affected due to power issue at MNR Nagar at Banglore NLD node. Services restored post power issue was resolved.</t>
  </si>
  <si>
    <t>000746, 000747, 000939, 001543, 001200, 001271</t>
  </si>
  <si>
    <t>08-02-2026
21:04:00</t>
  </si>
  <si>
    <t>BLR-CHN: Sify(1*100G)</t>
  </si>
  <si>
    <t>Affected due to power issue at MNR Nagar at Banglore metro section. Post power fault, card was in rebooting state. Service restored post card replacement.</t>
  </si>
  <si>
    <t xml:space="preserve">001340, </t>
  </si>
  <si>
    <t>10-02-2026
09:06:00</t>
  </si>
  <si>
    <t>11-02-2026
21:21:00</t>
  </si>
  <si>
    <t>Amazon(20*10G)
(BOM60 to 146)</t>
  </si>
  <si>
    <t>20*10G services affected due to loss of channel alarm on BOM60-wdm-PP41-s2 since 09:06 IST on 10th Feb 2026. Access mail was sent to amazon team at 09:21 IST. FE got access to amazon cage at 20:05 IST. Alarm got cleared at 21:21 IST post card replaced at BOM146.</t>
  </si>
  <si>
    <t>004131, 004132, 004133, 004134, 004135, 004136, 004137, 004138, 004139, 004140, 004141, 004142, 004143, 004144, 004145, 004146, 004147, 004148, 004149, 004150</t>
  </si>
  <si>
    <t>10-02-2026
17:19:49</t>
  </si>
  <si>
    <t>10-02-2026
18:34:00</t>
  </si>
  <si>
    <t>Microsoft CHN MOFN
MAA10 (12.9T)</t>
  </si>
  <si>
    <t>Fiber cut in Span MAA10, MAA12, MAA14, MAA16.As per Field OPS, Recently laid aerial cable cut forcibly by corporation. Permanently restored to UG.</t>
  </si>
  <si>
    <t xml:space="preserve">UG completed by Field OPS Team </t>
  </si>
  <si>
    <t>10-02-2026
18:36:00</t>
  </si>
  <si>
    <t>Microsoft CHN MOFN
MAA12 (12.8T)</t>
  </si>
  <si>
    <t>10-02-2026
18:56:00</t>
  </si>
  <si>
    <t>Microsoft CHN MOFN
MAA14 (25.7T)</t>
  </si>
  <si>
    <t>10-02-2026
18:55:00</t>
  </si>
  <si>
    <t>Microsoft CHN MOFN
MAA16 (25.6T)</t>
  </si>
  <si>
    <t>10-02-2026
18:18:10</t>
  </si>
  <si>
    <t>10-02-2026
18:23:15</t>
  </si>
  <si>
    <t>Microsoft CHN MOFN
MAA030 (1.2T)</t>
  </si>
  <si>
    <t>Fluctuation in span MAA30 of Chennai Microsoft MOFN while restoring the subnets MAA010, MAA012, MAA014, MAA016.</t>
  </si>
  <si>
    <t>13-02-2026
11:02:25</t>
  </si>
  <si>
    <t>13-02-2026
12:27:25</t>
  </si>
  <si>
    <t>Oracle(1*100G HYD-CHN)</t>
  </si>
  <si>
    <t>Affected due to planned activity in worker path between Ibrahimpatam and Mangollu. Service was switched to protection path however did not carry traffic. Further investigation revelead that protection port of Chennai ambattur was heavily erroring and optical power was degraded. Post power adjustment, service restored. The patch chord was between transponder and OPS was replaced once worker path was available</t>
  </si>
  <si>
    <t xml:space="preserve">001337, </t>
  </si>
  <si>
    <t>13-02-2026
11:10:59</t>
  </si>
  <si>
    <t>13-02-2026
11:11:31</t>
  </si>
  <si>
    <t xml:space="preserve">Worker SNC on reversion state post fiber cut cleared between Berigai to Kuppam(S166) in link-5. Protection snc down at 11:11 due to planned activity started between Ibrahimpatm to Mangollu </t>
  </si>
  <si>
    <t>000154, 000156,</t>
  </si>
  <si>
    <t>13-02-2026
22:40:00</t>
  </si>
  <si>
    <t>13-02-2026
23:20:00</t>
  </si>
  <si>
    <t>Microsoft(1*400G CHN MOFN MAA002)</t>
  </si>
  <si>
    <t xml:space="preserve">Observed Loss of Frame at OUT:1/1/10 port of Cisco node MAA21 in span of MAA002. Alarm was auto cleared. Detailed RFO awaited from CISCO case:700428066 </t>
  </si>
  <si>
    <t xml:space="preserve">005878, </t>
  </si>
  <si>
    <t>14-02-2026
02:37:11</t>
  </si>
  <si>
    <t>14-02-2026
02:38:32</t>
  </si>
  <si>
    <t>Worker SNC was off home due to fiber cut at 00:40 IST between MN R Nagar2 and Govindappa and ISRO and BGLR NM WF at 00:45 IST. Worker SNC was riding on W3. AT 02:37 IST, W3 and P1 went down due to fiber cut between BGLR CTRLS and NM WF.</t>
  </si>
  <si>
    <t>000746, 000747,</t>
  </si>
  <si>
    <t>14-02-2026
15:17:01</t>
  </si>
  <si>
    <t>14-02-2026
15:17:07</t>
  </si>
  <si>
    <t>Citadel (1*10G MUM-SING)</t>
  </si>
  <si>
    <t>As per supplier MIST, suspected shunt fault was observed in their subsea network</t>
  </si>
  <si>
    <t xml:space="preserve">001490, </t>
  </si>
  <si>
    <t>18-02-2026
12:06:00</t>
  </si>
  <si>
    <t>18-02-2026
12:17:00</t>
  </si>
  <si>
    <t>MUM-DEL: Amazon(8*100G), Meta(8*100G), Riot Games(1*10G), Cloudflare(1*100G), Oracle(1*100G)
MUM-KOL: Vodafone(8*100G)
DEL-HYD:Oracle(1*100G)</t>
  </si>
  <si>
    <t>Link-1 SNC was under restoraton post span flap between SV-16 to Phadge. At 12:06, fiber cut was observed between Gift City Lavarpar and Lahalganj.</t>
  </si>
  <si>
    <t>000137, 000138, 000139, 000140, 000141, 000160, 000290, 000291, 000969, 000970, 000966, 000967, 001231, 001232, 001233, 001234, 000125, 000998, 001321, 001177, 001178, 001263, 001264, 001266, 001267, 001268, 001269, 001322</t>
  </si>
  <si>
    <t>18-02-2026
12:37:00</t>
  </si>
  <si>
    <t>18-02-2026
12:39:00</t>
  </si>
  <si>
    <t>MUM-DEL: Meta(2*100G), Oracle(1*100G)
MUM-KOL: Vodafone(4*100G),</t>
  </si>
  <si>
    <t>The fiber cut between Gift City Lavarpar and Lahalganj (since 12:06 IST) was still ongoing.
At 12:37 IST, a minor span fluctuation was observed between Phadge and SV-16.</t>
  </si>
  <si>
    <t>001231, 001232, 001321, 001177, 001178, 001263, 001264</t>
  </si>
  <si>
    <t>18-02-2026
12:46:00</t>
  </si>
  <si>
    <t>18-02-2026
12:57:00</t>
  </si>
  <si>
    <t>MUM-DEL: Amazon(8*100G), 
MUM-KHU: Kuier(1*100G)
DEL-HYD:Oracle(1*100G)</t>
  </si>
  <si>
    <t>After restoration of the fiber cut between Langhanaj and Gift City Lavarpar (on the protection path), Protection SNC was in reversion state. At 12:46 IST, an “Automatic Power Reduction (APR) Active” alarm was observed on the worker path at Devgarhbaria.</t>
  </si>
  <si>
    <t>000137, 000138, 000139, 000140, 000141, 000160, 000290, 000291, 001215, 001322</t>
  </si>
  <si>
    <t>18-11-2026
13:32:49</t>
  </si>
  <si>
    <t>18-11-2026
13:33:54</t>
  </si>
  <si>
    <t>Meta(1*100G MUM-DEL)</t>
  </si>
  <si>
    <t>Service was affected due to ongoing  “Automatic Power Reduction (APR) Active” alarm on the worker path at Devgarhbaria since 12:46 IST &amp; fiber span fluctuation on protection path between IBM to GPX-2 in Mumbai-Delhi NLD section.</t>
  </si>
  <si>
    <t xml:space="preserve">001232, </t>
  </si>
  <si>
    <t>18-02-2026
14:39:00</t>
  </si>
  <si>
    <t>18-02-2026
14:47:00</t>
  </si>
  <si>
    <t>MUM-DEL: Amazon(19*100G), Meta(8*100G), Riot Games(1*10G), Cloudflare(1*100G), Oracle (1*100G), Sify(1*10G), Telstra(1*100G),
MUM-KHU: Amazon Leo(1*100G)
MUM-KOL: Vodafone(8*100G)
DEL-HYD:Oracle(1*100G)</t>
  </si>
  <si>
    <t>The worker path went down due to an “Automatic Power Reduction (APR) Active” alarm at Devgarhbaria. At 14:39 IST, a fiber cut occurred between Asuria Bharuch and Koshamba.</t>
  </si>
  <si>
    <t>000137, 000138, 000139, 000140, 000141, 000160, 000290, 000291, 001421, 001422, 001423, 001424, 001425, 001426, 001427, 001428, 001511, 001512, 001513, 000969, 000970, 000966, 000967, 001231, 001232, 001233, 001234, 000125, 000998, 001321, 000903, 001368, 001215, 001177, 001178, 001263, 001264, 001266, 001267, 001268, 001269, 001322</t>
  </si>
  <si>
    <t>19-02-2026
01:06:00</t>
  </si>
  <si>
    <t>19-02-2026
01:16:00</t>
  </si>
  <si>
    <t>Oracle(1*100G Del-HYD), Amazon(8*100G MUM-DEL), Meta(8*100G)</t>
  </si>
  <si>
    <t>Affected due to CHN-32269 CR for SNC reroute for Link 1 &amp; Link 2 channels which were rerouted through figure of 8 due to outage on 14:39 IST on 18th Feb.</t>
  </si>
  <si>
    <t>Planned Event</t>
  </si>
  <si>
    <t>001322, 000137, 000138, 000139, 000140, 000141, 000160, 000290, 000291, 000969, 000970, 000966, 000967, 001231, 001232, 001233, 001234</t>
  </si>
  <si>
    <t>19-01-2026
11:37:00</t>
  </si>
  <si>
    <t>19-01-2026
11:45:00</t>
  </si>
  <si>
    <t>Amazon(1*100G MUM-DEL)</t>
  </si>
  <si>
    <t>Work SNC was off home and was rding on link-2. At 11:37 Link-2 was affected due to fiber cut between Channi Bridge to VERNAMA_VADODARA.(S80_2)</t>
  </si>
  <si>
    <t xml:space="preserve">000137, </t>
  </si>
  <si>
    <t>19-02-2026
12:00:00</t>
  </si>
  <si>
    <t>19-02-2026
12:11:00</t>
  </si>
  <si>
    <t>MUM-DEL: Amazon(6*100G), Riot Games(1*10G)
MUM-KOL: Vodafone(6*100G)
DEL-HYD: Oracle (1*100G)</t>
  </si>
  <si>
    <t xml:space="preserve">Link-2 is was down between Vernama Vododara  to Channi Bridge since 11:37 hrs . 
Link-1 is down due to GPX to IBM(S11) at 12:00 hrs IST. Services rerouted via alternate path. </t>
  </si>
  <si>
    <t>000138, 000139, 000141, 000160, 000290, 000291, 000125, 001177, 001178, 001263, 001264, 001266, 001267, 001322</t>
  </si>
  <si>
    <t>19-02-2026
16:10:27
22:58:21</t>
  </si>
  <si>
    <t>19-02-2026
16:21:00
22:58:32</t>
  </si>
  <si>
    <t>Fiber cut between CTRL-S to IP4 in LTC media</t>
  </si>
  <si>
    <t>19-02-2026
17:30:00</t>
  </si>
  <si>
    <t>19-02-2026
18:27:00</t>
  </si>
  <si>
    <t>Microsoft (1*400G HYD-CHN)</t>
  </si>
  <si>
    <t>Initial observation was loss of clock alarm was at Chenaai Ambattur from Customer end. FE was arranged at site to isolate the issue and while troubleshooting it was suspected that, SFP was misbehaving. We reset, replace the SFP but no luck. Service was restored post card was rebooted at Ambattur.</t>
  </si>
  <si>
    <t xml:space="preserve">001292, </t>
  </si>
  <si>
    <t>20-02-2026
09:14:00</t>
  </si>
  <si>
    <t>20-02-2026
16:07:00</t>
  </si>
  <si>
    <t>Amazon(8*100G MUM MOFN)
(BOM119 to BOM62)</t>
  </si>
  <si>
    <t>Observed card XCVR failed alarm at 09:14 IST on PTP-1-2 of BOM62-wdm-PP61-s8. Mail sent to customer at 09:23 IST. FE got access to the case at 15:15 IST. Alarm cleared at 16:07 IST post card replacement. Access delay is reduced from total MTTR.</t>
  </si>
  <si>
    <t>006617, 006618, 006619, 006620, 006621, 006622, 006623, 006624</t>
  </si>
  <si>
    <t>20-02-2026
11:00:00
15:05:00</t>
  </si>
  <si>
    <t>20-02-2026
11:01:00
15:07:00</t>
  </si>
  <si>
    <t>Fiber cut between Rajaji Nagar to Lagare Bridge in NLD segment and reversion event post fiber cut restored.</t>
  </si>
  <si>
    <t>21-02-2026
16:05:40</t>
  </si>
  <si>
    <t>21-02-2026
16:06:51</t>
  </si>
  <si>
    <t>MUM-DEL: Amazon(8*100G), Meta(2*100G), Riot Games(1*10G), Cloudflare(1*100G), Oracle (1*100G) | MUM-KHU: Amazon Leo(1*100G)
MUM-KOL: Vodafone(1*100G)
DEL-HYD:Oracle(1*100G)</t>
  </si>
  <si>
    <t>Fiber cut between Kanzhari to Channi Bridge at 16:05 IST. XCM card rebooted agt 16:02 IST at GPX-2. Services restored post card was rebooted at 16:06:51 IST.</t>
  </si>
  <si>
    <t>Fiber + Hardware</t>
  </si>
  <si>
    <t>000137, 000138, 000139, 000140, 000141, 000160, 000290, 000291, 000969, 000970, 000125, 000998, 001321, 001215, 001177, 001322</t>
  </si>
  <si>
    <t>22-02-2026
07:44:00</t>
  </si>
  <si>
    <t>22-02-2026
09:21:49</t>
  </si>
  <si>
    <t>Microsoft CHN MOFN
MAA031 (25.6T)</t>
  </si>
  <si>
    <t xml:space="preserve">Fiber cut in MAA031 span. </t>
  </si>
  <si>
    <t>22-02-2026
15:28:00</t>
  </si>
  <si>
    <t>22-02-2026
17:13:00</t>
  </si>
  <si>
    <t>Fiber cut in supplier TCL media between mumbai Delhi NLD sections between  VijayNagar–Jhadol and Titwala to Mumbai</t>
  </si>
  <si>
    <t>23-02-2026
12:42:03</t>
  </si>
  <si>
    <t>23-02-2026
12:43:43</t>
  </si>
  <si>
    <t>Sify(2*10G), NTT(1*10G), Phonepe(1*10G), Cloudflare(1*100G), Telstra(2*100G)
DEL-CHN: Cloudflare(1*100G)</t>
  </si>
  <si>
    <t>Link-6 is was down due to planned event (CHN-32192) between Podili to Atmakkuru
Link-3 was down due to fiber cut in between GPX-2 to CTRL-S since 12:42 hrs IST</t>
  </si>
  <si>
    <t xml:space="preserve">001087, 001241, 001086, 001551, 000999, 001380, 001430, 001395
</t>
  </si>
  <si>
    <t>MUM-SING: Colt(2*10G)</t>
  </si>
  <si>
    <t>001169, 001170,</t>
  </si>
  <si>
    <t>23-02-2026
13:28:16</t>
  </si>
  <si>
    <t>23-02-2026
13:29:22</t>
  </si>
  <si>
    <t>Sify(1*100G MUM-KOL), 
Akamai(1*100G MUM-KOL)</t>
  </si>
  <si>
    <t>Planned activity in Link 6 between VTPS to Mangollu (CHN-32192) &amp; planned activity between Podili to Atmakuru. Fiber cut in Link-18 Saoner to Pendurma at 13:28 hrs IST. Channels rerouted via alternate.</t>
  </si>
  <si>
    <t>001221, 001207</t>
  </si>
  <si>
    <t>23-02-2026
13:31:46</t>
  </si>
  <si>
    <t>23-02-2026
13:33:51</t>
  </si>
  <si>
    <t>Protect path Link-6 is was down due to planned event (CHN-32192) between VTPS to Mangollu and Podili to Atmakkuru. Link-5 work path cut between Dommansandra to Basavangudi at 13:28 IST</t>
  </si>
  <si>
    <t>000154, 000156</t>
  </si>
  <si>
    <t>23-02-2026
13:35:55</t>
  </si>
  <si>
    <t>23-02-2026
13:35:56</t>
  </si>
  <si>
    <t xml:space="preserve">Planned activity in Link 6 between VTPS to Mangollu (CHN-32192) &amp; planned activity between Podili to Atmakuru. and fiber span fluctuation in protection path between Sumai Thangi to Sunguvarchatram </t>
  </si>
  <si>
    <t>24-02-2026
20:18:00</t>
  </si>
  <si>
    <t>24-02-2026
20:26:00</t>
  </si>
  <si>
    <t>Vodafone (4*100G MUM-KOL)</t>
  </si>
  <si>
    <t xml:space="preserve">Link-1 channels went down due to planned activity (CHN-32309) | Overhead to Underground links transition activity at Okhla Phase - 3 in Multiple Subnet  at 20:18 hrs IST
Span fluctuation in Vernama Vodadara to Channi bridge (Subnet S85) which caused Link-2 channel to go down. </t>
  </si>
  <si>
    <t xml:space="preserve">001177, 001178, 001263, 001264 </t>
  </si>
  <si>
    <t>25-02-2026
16:26:00</t>
  </si>
  <si>
    <t>25-02-2026
16:28:00</t>
  </si>
  <si>
    <t>Link-19 was down since 15:59 IST due to fiber cut betweeen Polupalli_3 to Natrampalli_S409_3 and channels were riding via link-7. Link-5 was down due to Basvangudi to DomSandra(166_1) since 12:54 and  Polupalli_1 to Kuppam_1 _S165_2 since 16:05 IST. At 16:26 IST, a momentary span degradation was observed between MNR NGR to CTRLS(S152) in link-7.</t>
  </si>
  <si>
    <t>001161, 001162, 001163, 001164, 001165, 001166, 001167, 001168,</t>
  </si>
  <si>
    <t xml:space="preserve"> Link-5 was down due to Basvangudi to DomSandra(166_1) since 12:54 and  Polupalli_1 to Kuppam_1 _S165_2 since 16:05. At 16:26 IST, a momentary span degradation was observed between MNR NGR to CTRLS(S152) in link-3</t>
  </si>
  <si>
    <t>000097, 0000117, 000394, 000396</t>
  </si>
  <si>
    <t>25-02-2026
16:39:00</t>
  </si>
  <si>
    <t>25-02-2026
16:46:00</t>
  </si>
  <si>
    <t>Link-5 SNC was off home since 12:54 IST due to fiber cut Basvangudi to DomSandra(166_1)
at 16:05 IT. BGLR-HYD SNC went down due to fiber cut between Polupalli_1 to Kuppam_1 _S165_2 at 16:06 IST.
Link-19 was already down due to fiber cut betweeen Polupalli_3 to Natrampalli_S409_3 since 15:59:17 and channels were riding via link-7. At 16:39 IST, we observed fiber cut between Polupalli_2 to Kuppam_2(S167_3). Service restored post fiber cut restored between fiber cut Basvangudi to DomSandra(166_1) at 16:43 IST.</t>
  </si>
  <si>
    <t>001161, 001162, 001163, 001164, 001165, 001166, 001167, 001168, 000154, 000156</t>
  </si>
  <si>
    <t>25-02-2026
17:28:00</t>
  </si>
  <si>
    <t>Link-5 SNC was off home since 12:54 IST due to fiber cut Basvangudi to DomSandra(166_1).
at 16:05 ITS BGLR-HYD SNC went down due to fiber cut between Polupalli_1 to Kuppam_1 _S165_2.
Link-19 was already down due to fiber cut betweeen Polupalli_3 to Natrampalli_S409_3 since 15:59:17 and channels were riding via link-7. At 16:39 IST, we observed fiber cut between Polupalli_2 to Kuppam_2(S167_3). Channel of link-5 did not came up post cut restored between Basvangudi to DomSandra(166_1).
Service restored post fiber cut restored in link-7 between Basvangudi to DomSandra(168_1)</t>
  </si>
  <si>
    <t>25-02-2026
18:03:59</t>
  </si>
  <si>
    <t>25-02-2026
18:04:17</t>
  </si>
  <si>
    <t>Worker SNC affected due to momentary span degradation between Dommansandra to Basavangudi(S166_1) at 18:03 IST.
Link-19 was already down due to fiber cut betweeen Polupalli_3 to Natrampalli_S409_3 since 15:59:17 to 19:14 IST and channels were riding via link-7. Link-7 one path was already down between Polupalli_2 to Kuppam_2_S167_3 between 16:39 to 19:06. 
A momentary span degradation between Dommansandra to Basavangudi(S168_1) at 18:03 IST.</t>
  </si>
  <si>
    <t>000154, 000156, 001340</t>
  </si>
  <si>
    <t>26-02-2026
01:23:59</t>
  </si>
  <si>
    <t>26-02-2026
01:43:49</t>
  </si>
  <si>
    <t>Microsoft(10*100G CHN Metro), NTT(2*100G CHN Metro), Akamai(1*100G CHN-KOL)</t>
  </si>
  <si>
    <t>Affected due to planned activity CHN-32471 - for Single source SMPS load sharing issue clearance at NTT Ambattur.</t>
  </si>
  <si>
    <t xml:space="preserve">
001371, 001372, 001373, 001374, 001433, 001434, 001531, 001532, 001533, 001534, 001120, 000932, 001206</t>
  </si>
  <si>
    <t>26-02-2026
02:03:59</t>
  </si>
  <si>
    <t>Microsoft (2*100G CHN Metro)</t>
  </si>
  <si>
    <t>Affected due to planned activity CHN-32471 - for Single source SMPS load sharing issue clearance at NTT Ambattur. Card were hung and cleared post cold restart to  card.</t>
  </si>
  <si>
    <t>001431, 001432</t>
  </si>
  <si>
    <t>27-02-2026
19:54:23</t>
  </si>
  <si>
    <t>27-02-2026
21:22:57</t>
  </si>
  <si>
    <t>Fiber cut in MAA031 span due to ant bite.</t>
  </si>
  <si>
    <t>Mar-26</t>
  </si>
  <si>
    <t>04-03-2026
12:20:08</t>
  </si>
  <si>
    <t>04-03-2026
12:22:04</t>
  </si>
  <si>
    <t>Worker SNC went down by fiber cuts at 11:15 IST on Link-19 (Polupalli-3 to Attibele-3) and Link-07 (Polupalli-2 to Attibele-2); The channel was rerouted via Link-05. However at 12:20 IST, Work &amp; Protect SNC went down due to a fiber cut on Link-05 between MNR Nagar and Basavanagudi.</t>
  </si>
  <si>
    <t xml:space="preserve">001161, 001162, 001163, 001164, 001165, 001166, 001167, 001168 </t>
  </si>
  <si>
    <t>05-03-2026
10:05:00</t>
  </si>
  <si>
    <t>05-03-2026
18:37:00</t>
  </si>
  <si>
    <t>Fiber cut in Microsoft spans. High loss rectification activity by project team.</t>
  </si>
  <si>
    <t>05-03-2026  
10:05:00</t>
  </si>
  <si>
    <t>05-03-2026  
18:37:00</t>
  </si>
  <si>
    <t>06-03-2026
10:21:33</t>
  </si>
  <si>
    <t>06-03-2026
10:22:33</t>
  </si>
  <si>
    <t>MUM-CHN: Colt(1*10G), Wells Fargo(1*10G), Akamai(1*100G), IDFC(1*10G), Google(1*100G)</t>
  </si>
  <si>
    <t>Fiber cut was ongoing in protection path (Link-21) between Maheswaram to T203 and span degradation was observed betweeen Madhanur to Natrampalli</t>
  </si>
  <si>
    <t>06-03-2026
13:36:10</t>
  </si>
  <si>
    <t>06-03-2026
13:38:10</t>
  </si>
  <si>
    <t>MUM-CHN: Akamai(100G), Cloudflare(100G), IDFC(10G), Netflix(100G), NTT(10G), Phone Pe(10G), Sify Corp(20G), Telstra(2*100G), Verizon(10G), Wells Fargo(10G)</t>
  </si>
  <si>
    <t>Fiber cut was ongoing in protection path (Link-21) between Maheswaram to T203 and fiber cut occurred in between Rajaji Nagar to CTRL-S in worker path at 13:36 IST</t>
  </si>
  <si>
    <t>Fiber cut was ongoing in protection path (Link-21) between Maheswaram to T203 &amp; fiber cut occurred in between Rajaji Nagar to CTRL-S in worker path at 13:36 IST</t>
  </si>
  <si>
    <t>06-03-2026
15:25:52</t>
  </si>
  <si>
    <t>06-03-2026
15:27:32</t>
  </si>
  <si>
    <t>Fiber cut was ongoing in protection path (Link-21) between Maheswaram to T203 &amp; Channel was in reversion state post fiber cut was repaired in between Rajaji Nagar to CTRL-S in worker path.</t>
  </si>
  <si>
    <t>001169, 001170</t>
  </si>
  <si>
    <t>07-03-2026
17:23:00</t>
  </si>
  <si>
    <t>07-03-2026
17:24:00</t>
  </si>
  <si>
    <t>Span degradation between Mumbai CTRL-S to IP4 in MUM-BGLR NLD section.</t>
  </si>
  <si>
    <t>08-03-2026
12:53:00</t>
  </si>
  <si>
    <t>08-03-2026
14:52:00</t>
  </si>
  <si>
    <t>Dual fiber cut in Mumbai Delhi supplier media (TATA Communications).</t>
  </si>
  <si>
    <t>09-03-2026
23:33:46</t>
  </si>
  <si>
    <t>09-03-2026
23:42:54</t>
  </si>
  <si>
    <t>HGC (LA-SING 1*10G)</t>
  </si>
  <si>
    <t>As per APAC NOC, service affected due to planned activity. However the activity was not notified to India NOC by APAC NOC</t>
  </si>
  <si>
    <t>14-03-2026
12:39:39</t>
  </si>
  <si>
    <t>14-03-2026
12:44:41</t>
  </si>
  <si>
    <t>Fiber cut on protection path between Adani DC &amp; Ambattur (S822) at 12:35 &amp; channel was in tunning state. At 12:39 IST, we observed fiber cut between Sify Tidel park 2 to Adani(S821).</t>
  </si>
  <si>
    <t>15-03-2026
03:35:19</t>
  </si>
  <si>
    <t>15-03-2026
03:39:04</t>
  </si>
  <si>
    <t>Span degradation in worker path between GPX2 to ContrlS (S155) link03 and span degradation between Narnur to T171 (S164_14) in protection path link05</t>
  </si>
  <si>
    <t>000097, 0000117, 000394, 000396, 001543, 001553</t>
  </si>
  <si>
    <t>MUM-PUN: Amazon(2*100G), Phonepe(2*10G)</t>
  </si>
  <si>
    <t>Errors observed on both worker and protect path. Case raised with Ciena for detailed RFO.</t>
  </si>
  <si>
    <t>000118, 000121, 001544, 001554</t>
  </si>
  <si>
    <t>15-03-2026
04:41:00</t>
  </si>
  <si>
    <t>15-03-2026
04:51:00</t>
  </si>
  <si>
    <t>Power Issue at GGN_Spectra and Spectranet ILA. Battery was discharged and was not taking load. There was not performed by Spectra Team however PM was performed by spectra Team.</t>
  </si>
  <si>
    <t>000969, 000970, 000966, 000967, 001231, 001232, 001233, 001234, 001381, 001382, 001383, 001384, 001385, 001386, 001387, 001388, 001215, 001177, 001178, 001263, 001264, 001266, 001267, 001268, 001269</t>
  </si>
  <si>
    <t>15-03-2026
05:05:00</t>
  </si>
  <si>
    <t>Power Issue at GGN_Spectra and Spectranet ILA. Battery was discharged and was not taking load. There was not performed by Spectra Team. However PM was performed by spectra Team.</t>
  </si>
  <si>
    <t xml:space="preserve">000137, 000138, 000139, 000140, 000141, 000160, 000290, 000291, 000998, 001321, 000125, 001322, </t>
  </si>
  <si>
    <t>15-03-2026
06:51:00</t>
  </si>
  <si>
    <t>15-03-2026
07:02:00</t>
  </si>
  <si>
    <t>15-03-2026
7:38:00</t>
  </si>
  <si>
    <t>15-03-2026
12:15:00</t>
  </si>
  <si>
    <t>15-03-2026
12:26:00</t>
  </si>
  <si>
    <t>MUM-DEL:META(8*100G),
DEL-GUJ: Meta(8*100G)
MUM-KHU: KUIPER(1*100G),</t>
  </si>
  <si>
    <t>000969, 000970, 000966, 000967, 001231, 001232, 001233, 001234, 001381, 001382, 001383, 001384, 001385, 001386, 001387, 001388, 001215</t>
  </si>
  <si>
    <t>15-03-2026
12:35:00</t>
  </si>
  <si>
    <t>MUM-DEL: Amazon(8*100G), Cloudflare(1*100G),  Oracle(1*100G), Riot Games(1*10G)
DEL-HYD: Oracle(1*100G)	
MUM-KOL: Vodafone(8*100G)</t>
  </si>
  <si>
    <t>000137, 000138, 000139, 000140, 000141, 000160, 000290, 000291, 000998, 001321, 000125, 001322, 001177, 001178, 001263, 001264, 001266, 001267, 001268, 001269</t>
  </si>
  <si>
    <t>16-03-2026
14:13:41</t>
  </si>
  <si>
    <t>16-03-2026
14:23:39</t>
  </si>
  <si>
    <t>Span fluctuation between IP4 to Savroli.</t>
  </si>
  <si>
    <t>16-03-2026
16:24:00</t>
  </si>
  <si>
    <t>16-03-2026
23:34:00</t>
  </si>
  <si>
    <t>Observed Loss of channel alarm at 16:24 IST on PTP-1-1 of BOM62-wdm-PP61-s3. Mail sent to customer at 16:36 IST. FE got access to the case at 22:50 IST. Alarm cleared at 23:34 IST post card replacement. Access delay is reduced from total MTTR.</t>
  </si>
  <si>
    <t>006529, 006530,006531, 006532, 006533, 006534, 006535, 006536</t>
  </si>
  <si>
    <t>18-03-2026
11:52:00</t>
  </si>
  <si>
    <t>18-03-2026
11:54:00</t>
  </si>
  <si>
    <t>Protection path down due to fiber cut between Akola to Badnera since 11:34 IST.
Fiber cut in worker path between CTRL-S to MNR-Nagar in worker path at 11:52 IST.</t>
  </si>
  <si>
    <t>001338, 001339, 000553, 000554, 000555, 000556, 000557, 000558, 000403, 000551, 000552, 000562, 000561, 000560, 000559, 000564, 000563, 000435, 001380, 001499, 000396</t>
  </si>
  <si>
    <t>18-03-2026
12:35:00</t>
  </si>
  <si>
    <t>18-03-2026
18:01:00</t>
  </si>
  <si>
    <t>META (CHN MOFN) (3.2T)</t>
  </si>
  <si>
    <t>Fiber cut in subnets S1140 since 10:35 and in S1141 at 12:35 IST. Aerial cable drive in south chennai by corporation authority. Restored by laying 600m Aerial cable.</t>
  </si>
  <si>
    <t>18-03-2026
14:26:16</t>
  </si>
  <si>
    <t>18-03-2026
14:28:26</t>
  </si>
  <si>
    <t>Protection path down due to fiber cut between Akola to Badnera since 11:34 IST.
Worker channel in reversion state post fiber cut restored between CTRL-S to MNR-Nagar.</t>
  </si>
  <si>
    <t>001338, 001339, 000553, 000554, 000555, 000556, 000557, 000558, 000403, 000551, 000552, 000562, 000561, 000560, 000559, 000564, 000563, 000435, 001380, 001499,</t>
  </si>
  <si>
    <t>21-03-2026
13:22:32</t>
  </si>
  <si>
    <t>21-03-2026
13:33:57</t>
  </si>
  <si>
    <t>Cloudflare (1*100G DEL-CHN)</t>
  </si>
  <si>
    <t xml:space="preserve">Fiber cut in worker path between Balugaon and Narenderpur (Due to CHN-33427) &amp; fiber cut in the protection path between GPX2 to CTRLS(S14) at 13:22 IST on 21-03-2026. </t>
  </si>
  <si>
    <t xml:space="preserve">001395, </t>
  </si>
  <si>
    <t>24-03-2026
07:05:18
07:06:47
07:07:11</t>
  </si>
  <si>
    <t>24-03-2026
07:05:41
07:08:00
07:08:58</t>
  </si>
  <si>
    <t>00:00:23
00:00:24
00:00:58</t>
  </si>
  <si>
    <t>Google CHN MOFN (12.21T)</t>
  </si>
  <si>
    <t xml:space="preserve">CHN-33145 was ongoing in S1115. S1114 fluctuation was observed in S1114 Subnet at mentioned timestams leading to service disruption. </t>
  </si>
  <si>
    <t>26-03-2026
08:58:00</t>
  </si>
  <si>
    <t>26-03-2026
12:12:00</t>
  </si>
  <si>
    <t>Google (1*100G MUM-CHN)</t>
  </si>
  <si>
    <t>Observed OTU Degrade alarm at Port 5-31-11 of BA card at Chennai Netmagic NLD node. OTU degrade alarm was cleared and Loss of signal alarm was then observed on the port. FE was arranged at site to troubleshooting. Post patch chord change between OPS to BA card issue was resolved.</t>
  </si>
  <si>
    <t>Patch cord</t>
  </si>
  <si>
    <t xml:space="preserve">000557, </t>
  </si>
  <si>
    <t>29-03-2026
10:46:00</t>
  </si>
  <si>
    <t>29-03-2026
14:01:00</t>
  </si>
  <si>
    <t>Fiber cuts in PUNE MOFN network. Details fo fiber cut awaited. UG Cable burn caused by garbage burning. Cable ducts were protected by PCC but fire spread and entereed at bottom side of PCC. Restoration done on temporary basis.</t>
  </si>
  <si>
    <t>29-03-2026
11:14:00</t>
  </si>
  <si>
    <t>29-03-2026
14:06:00</t>
  </si>
  <si>
    <t>29-03-2026
14:08:00</t>
  </si>
  <si>
    <t>29-03-2026
14:09:00</t>
  </si>
  <si>
    <t>29-03-2026
11:26:00</t>
  </si>
  <si>
    <t>29-03-2026
14:04:00</t>
  </si>
  <si>
    <t>29-03-2026
11:30:00</t>
  </si>
  <si>
    <t>29-03-2026
14:05:00</t>
  </si>
  <si>
    <t>29-03-2026
11:45:00</t>
  </si>
  <si>
    <t>Microsoft PUNE MOFN
PNQ328 (12.8T)</t>
  </si>
  <si>
    <t>29-03-2026
21:36:00</t>
  </si>
  <si>
    <t>30-03-2026
16:24:00</t>
  </si>
  <si>
    <t>Amazon (8*100G)
MUM MOFN (BOM53 to BOM146)</t>
  </si>
  <si>
    <t>Observing Loss of clock alarm at BOM53-PP40-S4 on transponder PTP-1-1 alarm at 21:36 IST. Mail sent for access at 21:44 IST. Access recevied to cage at 15:50 IST. Card replaced at BOM53 and alarm cleared at 16:24 IST</t>
  </si>
  <si>
    <t>003183 to 003190</t>
  </si>
  <si>
    <t>30-03-2026
05:08:00</t>
  </si>
  <si>
    <t>30-03-2026
11:39:00</t>
  </si>
  <si>
    <t>Amazon (32*100G)
MUM MOFN (BOM62 to BOM119)</t>
  </si>
  <si>
    <t>Observing Loss of Channel alarm BOM62-wdm-PP61-s5 at 05:08 IST. Mail sent to Amazon from access at 05:15 IST.Access received at 11:00 IST. Alarm cleared at 11:39 IST. post controller card replacement at BOM62.</t>
  </si>
  <si>
    <t>009293 to 009308 &amp; 006561 to 006576</t>
  </si>
  <si>
    <t>30-03-2026
16:40:00</t>
  </si>
  <si>
    <t>01-04-2026
11:36:54</t>
  </si>
  <si>
    <t>Amazon (8*100G)
MUM MOFN (BOM60 to BOM146)</t>
  </si>
  <si>
    <t>Observing Loss of Clock alarm BOM146-wdm-PP41-s9 since 16:40 IST. Access requested from Amazon at 16:57 IST. Card not available. Ciena team has denied to provide card to Amazon due to hygiene issue at BOM146. Alarm auto cleared at 01-04-2026 11:36:54</t>
  </si>
  <si>
    <t>004097 to 004104</t>
  </si>
  <si>
    <t>31-03-2026
12:09:00</t>
  </si>
  <si>
    <t>31-03-2026
22:01:00 IST</t>
  </si>
  <si>
    <t>Amazon (8*100G)
MUM MOFN (BOM76 to BOM119)</t>
  </si>
  <si>
    <t>Observed Loss of clock alarm at BOM76-wdm-PP59-s9 PTP-1-1 at 12:09 IST. Access request was sent at 12:15 IST. Access was gained and traffic was drained at 21:15 IST. Alarm cleared at 22:01 IST post card replacement.</t>
  </si>
  <si>
    <t>006965 to 006972</t>
  </si>
  <si>
    <t>Apr-26</t>
  </si>
  <si>
    <t>01-04-2026
11:46:30</t>
  </si>
  <si>
    <t>01-04-2026
11:51:28</t>
  </si>
  <si>
    <t>Wells Fargo (MUM-CHN 1*10G)</t>
  </si>
  <si>
    <t>Worker path down due to fiber cut b/w NM Mahape to GPX2_3. Protection path down due to fiber cut b/w Yotta to Sify Rabale in Mumbai metro section since 11:35 IST.</t>
  </si>
  <si>
    <t xml:space="preserve">001289, </t>
  </si>
  <si>
    <t>02-04-2026
00:04:00</t>
  </si>
  <si>
    <t>02-04-2026
10:35:00</t>
  </si>
  <si>
    <t>Observed loss of clock alarm at BOM119-PP61-S3 at 00:04 IST. Traffic drain was requested at 01:04 IST. Traffic was drained by customer at 09:05 IST. Alarm cleared post controller card replacement at BOM62 10:35 IST.</t>
  </si>
  <si>
    <t>006529, 006530, 006531, 006532, 006533, 006534, 006535, 006536, 006537, 006538, 006539, 006540, 006541, 006542, 006543, 006544, 009261, 009262, 009263, 009264, 009265, 009266, 009267, 009268, 009269, 009270, 009271, 009272, 009273, 009274, 009275, 009276</t>
  </si>
  <si>
    <t>05-04-2026
01:38:00</t>
  </si>
  <si>
    <t>05-04-2026
04:08:00</t>
  </si>
  <si>
    <t>Aerial fiber cut in PUNE MOFN Network. Location of the fiber cut was 4 km from Dighi due to road widening activity. This is Sev-2 incident.</t>
  </si>
  <si>
    <t>06-04-2026
12:13:14</t>
  </si>
  <si>
    <t>06-04-2026
12:52:40</t>
  </si>
  <si>
    <t>NTT (1*10G MUM Metro)</t>
  </si>
  <si>
    <t>NMDC2 node was supposed to be down, so SNC was made OOS by TAC as there was deletion plan shared by planning team. However customer reported for circuit down. NOC confirmed with CSD and as per them this service is going to terminate on 30th April 2026. TAC team made the SNC in service and service was restored.</t>
  </si>
  <si>
    <t>Human Error</t>
  </si>
  <si>
    <t xml:space="preserve">000164, </t>
  </si>
  <si>
    <t>06-04-2026
12:25:03</t>
  </si>
  <si>
    <t>06-04-2026
13:29:23</t>
  </si>
  <si>
    <t xml:space="preserve">001239, </t>
  </si>
  <si>
    <t>06-04-2026
22:05:11</t>
  </si>
  <si>
    <t>07-04-2026
22:20:00</t>
  </si>
  <si>
    <t>Amazon (8*100G)
BOM119 to BOM62</t>
  </si>
  <si>
    <t>Observed loss of clock on PTP1-2 of BOM119-wdm-PP60-s6 at 22:05. Mail sent to Amazon from traffic drain at 22:12 IST. Access was gained at 21:45 IST. Alarm cleared post card replacement at 22:20 IST</t>
  </si>
  <si>
    <t>006457, 006458, 006459, 006460, 006461, 006422, 006463 006464</t>
  </si>
  <si>
    <t>07-04-2026
16:42:00</t>
  </si>
  <si>
    <t>07-04-2026
16:55:00</t>
  </si>
  <si>
    <t>Microsoft CHN MOFN
MAA006 (25.7T)</t>
  </si>
  <si>
    <t>Span fluctuation in span MAA006. As per Field OPS team, aerial cable bend observed near CTRL-S. This is Sev-4 incident.</t>
  </si>
  <si>
    <t>08-04-2026
16:30:00
17:28:46</t>
  </si>
  <si>
    <t>08-04-2026
16:40:00
17:35:46</t>
  </si>
  <si>
    <t>00:10:00
00:07:00</t>
  </si>
  <si>
    <t>Fiber cut was ongoing in link-17 between Howrah to Tarkeshavar since 17:30 IST on 7th April. Span fluctuation was observed between Morwa-Obra in Link-18 at 16:30 IST and 17:28 IST.</t>
  </si>
  <si>
    <t>08-04-2026
18:23:00</t>
  </si>
  <si>
    <t>09-04-2026
13:40:00</t>
  </si>
  <si>
    <t>Observing TX-Low power alarm at PNQ22 at 18:23. Access was requested at 18:28 IST. Access gained at 12:27 IST. Alarm cleared at 13:40 post SFP reset. This is Sev-4 incident.</t>
  </si>
  <si>
    <t xml:space="preserve">08882, </t>
  </si>
  <si>
    <t>09-04-2026
11:39:00</t>
  </si>
  <si>
    <t>09-04-2026
11:50:00</t>
  </si>
  <si>
    <t>MUM-DEL: Amazon(19*100G), Cloudflare(1*100G), Riot Games(1*10G), Oracle(1*100G)
MUM-KOL: Vodafone(4*100G)
DEL-HYD:Oracle(1*100G)</t>
  </si>
  <si>
    <t>Fiber cut in link-2 between Kapletha to Valsad since 11:27 IST. Fiber cut in Mumbai traingle section between GPX-2 to IBM (S11) at 11:39 IST. Services restored via mesh path.</t>
  </si>
  <si>
    <t>10-04-2026
14:29:42</t>
  </si>
  <si>
    <t>10-04-2026
14:29:51</t>
  </si>
  <si>
    <t xml:space="preserve">Span Degrade between Netmagic2 to Annasalai (S811) in worker path. Span Degrade between Ambattur to Annasalai (S810) in protection path. Both Subnets are common at Zero manhole. Issue is raised with TCL Team. Awaiting reply. </t>
  </si>
  <si>
    <t>11-04-2026
01:30:00</t>
  </si>
  <si>
    <t>13-04-2026
17:03:00</t>
  </si>
  <si>
    <t>Amazon (8*100G MUM MOFN)
BOM146 to BOM60</t>
  </si>
  <si>
    <t>Loss of clock alarm observed on BOM146-PP41-S9. Mail sent to customer to drain the traffic.  Traffic drain at 01:35.Traffic drain completed at 14:15 IST. Access was approved at 15:50 IST. Alarm cleared at 17:03 IST post card replacement.</t>
  </si>
  <si>
    <t>004097, 004098, 004099, 004100, 004101, 004102,004103, 004104</t>
  </si>
  <si>
    <t>11-04-2026
09:26:28</t>
  </si>
  <si>
    <t>11-04-2026
12:49:28</t>
  </si>
  <si>
    <t xml:space="preserve">Affected due to amplifier card faulty at Manado site in supplier Telin network. Detailed RFO is awaited from NTT NOC. </t>
  </si>
  <si>
    <t>11-04-2026
19:15:00</t>
  </si>
  <si>
    <t>11-04-2026
19:22:00</t>
  </si>
  <si>
    <t>MUM Metro: ZOHO(1*10G), TCL(1*10G)</t>
  </si>
  <si>
    <t>Working path is down due to a TRM card fault at Yotta since 16:10 IST in Mumbai Metro section. Additionally, protection path is also down as SNC was in a reversion state following restoration of fiber cut between IBM_3 and GPX2_3 in the Mumbai Metro section.</t>
  </si>
  <si>
    <t>001259, 001535</t>
  </si>
  <si>
    <t>12-04-2026
03:06:00</t>
  </si>
  <si>
    <t>12-04-2026
05:13:00</t>
  </si>
  <si>
    <t>Patch chord issue at Mumbai CTRL-S intermediate nodes. Issue resolved post patch chord replacement.</t>
  </si>
  <si>
    <t xml:space="preserve">001200, </t>
  </si>
  <si>
    <t>12-04-2026
16:47:00</t>
  </si>
  <si>
    <t>13-04-2026
15:08:00</t>
  </si>
  <si>
    <t>Microsoft (1*400G)
CHN MOFN of Span MAA014</t>
  </si>
  <si>
    <t>Observed Loss of sync alarm on client handoff port of MAA20. Issue was reported to customer to check if any activity at their end and to provide access at 16:57 IST. Access was approved at 14:00 IST on 13th April. Alamr cleared post SFP replacement.</t>
  </si>
  <si>
    <t xml:space="preserve">005647, </t>
  </si>
  <si>
    <t>15-04-2026
10:18:38</t>
  </si>
  <si>
    <t>15-04-2026
10:28:38</t>
  </si>
  <si>
    <t>MUM-DEL: Amazon(4*100G), META(200G)
MUM-KHU: Amazon LEO(100G)
MUM-GUJ: Amazon LEO (100G)
MUM-KOL: Vodafone (400G)</t>
  </si>
  <si>
    <t>Fiber cut in Link-2 between Kanzari and Kathlal (S80_4) since 10:08 IST and fiber cut between  GPX2 and IBM (S249) at 10:18 IST.</t>
  </si>
  <si>
    <t>000160, 001425, 001426, 001518, 000969, 000970, 001215, 001496, 001266, 001267, 001268, 001269</t>
  </si>
  <si>
    <t>15-04-2026
13:41:21</t>
  </si>
  <si>
    <t>15-04-2026
20:22:00</t>
  </si>
  <si>
    <t>Fiber cut in Link-3 between Panhala to Belgavi</t>
  </si>
  <si>
    <t>17-04-2026
10:37:00</t>
  </si>
  <si>
    <t>17-04-2026
14:48:00</t>
  </si>
  <si>
    <t>Customer reported service down. There was no alarm on the service. FE was arranged at Bangalore WF to check the issue and it wasd observed that patch chord was mis-patched at ODF. Post correcting the patching the circuit was resumed.</t>
  </si>
  <si>
    <t xml:space="preserve">000746, </t>
  </si>
  <si>
    <t>17-04-2026
12:11:00</t>
  </si>
  <si>
    <t>17-04-2026
14:25:00</t>
  </si>
  <si>
    <t>Fiber cut in subnet I12 since 10:44 IST. Fiber cut in subnet I11 at 12:11 IST.</t>
  </si>
  <si>
    <t>18-04-2026
16:49:00</t>
  </si>
  <si>
    <t>18-04-2026
16:56:00</t>
  </si>
  <si>
    <t>Fiber cut between Bidansai to Khurda since 12:32 IST in link-17. Fiber cut was observed between SV16 to Phadge in link-1 at 16:49 IST.</t>
  </si>
  <si>
    <t>20-04-2026
00:45:00</t>
  </si>
  <si>
    <t>20-04-2026
15:41:00</t>
  </si>
  <si>
    <t>META (4*100G)
(MUM-HYD NLD MOFN link-3)</t>
  </si>
  <si>
    <t xml:space="preserve">Observed Loss of clock alarm at Hyderabad and XCVR failed alarm at Sify Rabale at 00:45 IST. Access and card arrangement is awaited from customer at 01:19 IST. Access was gained in cage at 15:00 IST. Alarm cleared post card replacement at 15:41 IST. </t>
  </si>
  <si>
    <t>009021, 009022, 009023, 009024</t>
  </si>
  <si>
    <t>02-01-2026  
10:04:35</t>
  </si>
  <si>
    <t>02-01-2026  
10:10:46</t>
  </si>
  <si>
    <t>JUMP TRADING FINANCIAL I1*1Gig
SIFY TECHNOLOGIES LIMITED 2*10Gig</t>
  </si>
  <si>
    <t>Service was impacted due to a fiber cut on working path between Vadodara to Channi bridge and fiber cut on the protection path between IBM to GPX2.</t>
  </si>
  <si>
    <t>Polarin</t>
  </si>
  <si>
    <t>PRN-01-MUM-GPX02-CHNDV-GUJ-MNRXX-GCITY-P-000988_1
PRN-01-MUM-GPX02-CHNDV-GUJ-MMRxx-GCITY-P-000988_2</t>
  </si>
  <si>
    <t>02-01-2026  
10:04:37</t>
  </si>
  <si>
    <t>02-01-2026  
10:14:13</t>
  </si>
  <si>
    <t>FGL--CORONET-4 (MUM Gpx - Ultadanga) 1*50Gig
P-002925</t>
  </si>
  <si>
    <t>Fiber cut in between Vernama Vadodara to Channi bridge which is ongoing since 09:47 hrs IST. While another fiber cut was observed at 10:04 hrs IST at Mumbai Triangle section between IBM to GPX2. Services were rerouted via alternate path.</t>
  </si>
  <si>
    <t>IPLC/IPT</t>
  </si>
  <si>
    <t xml:space="preserve"> VLE-01-MUM-GPX02-CHNDV- -LTVxx-GLBSN-P-001250 </t>
  </si>
  <si>
    <t>02-01-2026  
12:32:50</t>
  </si>
  <si>
    <t>02-01-2026  
12:32:58</t>
  </si>
  <si>
    <t>SHYAM SPECTRA (1*2.5G, 1*5G)</t>
  </si>
  <si>
    <t>Offnet service from TCL at Mumbai Metro - Service was flapped as in the worker path there was a degradation observed due to single core bend at 5km from Salsette near Gandhi Nagar signal due to metro work in supplier media.Link was observed to be stable after the circuit switched to the alternate path.</t>
  </si>
  <si>
    <t>091MUMB1258A0285045</t>
  </si>
  <si>
    <t>02-01-2026  
17:10:39</t>
  </si>
  <si>
    <t>02-01-2026  
17:10:41</t>
  </si>
  <si>
    <t>Millennium Consulting(1G)</t>
  </si>
  <si>
    <t>TTSL- Service was affected due to Fiber cut between Zenta to Techno worker path and ZENTA to LightHall in protection path during reported time stamp</t>
  </si>
  <si>
    <t>06-01-2026  
00:15:42
00:21:08</t>
  </si>
  <si>
    <t>06-01-2026  
00:17:48
00:23:56</t>
  </si>
  <si>
    <t>Service was affected due to fiber cut on working path between Eklara to Valsad and fiber span fluctuated on protection path between GPX-2 to IBM in the Mumbai-Gujarat NLD section.
Service rerouted via mesh path.</t>
  </si>
  <si>
    <t>07-01-2026  
16:38:17
18:58:38</t>
  </si>
  <si>
    <t>07-01-2026  
16:39:50
19:00:46</t>
  </si>
  <si>
    <t>DESHKAL(1*25G),  EDGEREDE(1*10G)
INFOSYS(2*1G), Ishan Netsol(1*100Mb)
Kotak Securities(1*200Mb), Mahindra &amp; Mahindra Financial(1*500Mb), Marico(1*500Mb)
Millennium(1*1G), Tata Communications(1*5G)
TEJAYS DYNAMIC(1*1G), TIKONA(1*1G,2*2G,1*2.5G,1*3G,2*4G), TIMES INTERNET(2*1G,1*500Mb), Zenlayer(1*2G)</t>
  </si>
  <si>
    <r>
      <rPr>
        <b/>
        <sz val="10"/>
        <color theme="1"/>
        <rFont val="Calibri"/>
        <family val="2"/>
        <scheme val="minor"/>
      </rPr>
      <t>1st Event</t>
    </r>
    <r>
      <rPr>
        <sz val="10"/>
        <color theme="1"/>
        <rFont val="Calibri"/>
        <family val="2"/>
        <scheme val="minor"/>
      </rPr>
      <t xml:space="preserve">- Service was down due to W1 path ( HYBD Sify to ICICI bank S253) down to issue in between WSS and AMP and fiber cut between HYBD CtrlS MDPR to ICICI bank S255 at 16:38 IST which was common path for W2 and P1.
</t>
    </r>
    <r>
      <rPr>
        <b/>
        <sz val="10"/>
        <color theme="1"/>
        <rFont val="Calibri"/>
        <family val="2"/>
        <scheme val="minor"/>
      </rPr>
      <t>2nd Event</t>
    </r>
    <r>
      <rPr>
        <sz val="10"/>
        <color theme="1"/>
        <rFont val="Calibri"/>
        <family val="2"/>
        <scheme val="minor"/>
      </rPr>
      <t xml:space="preserve"> - Service was down due to W1 path ( HYBD Sify to ICICI bank S253) down to down to high degradation in internal patching between WSS and AMP and Protection SNC was in reversion state post fiber cut restored between HYBD CtrlS MDPR to ICICI bank S255 at 18:50 IST which was common path for W2 and P1.</t>
    </r>
  </si>
  <si>
    <t xml:space="preserve">PRN-01-HYD-ICICI-xxxxx-HYD-SIFYx-FDxxx-P-000691 </t>
  </si>
  <si>
    <t>08-01-2026  
13:19:34
15:02:32</t>
  </si>
  <si>
    <t>08-01-2026  
13:21:24
15:06:28</t>
  </si>
  <si>
    <t>Service was affected due to fiber cut on working path between Savli to Bhaiyapura and fiber span fluctuation between Valsad to Eklara on protection path in NLD segment.</t>
  </si>
  <si>
    <t>08-01-2026  
16:58:08</t>
  </si>
  <si>
    <t>08-01-2026  
17:00:08</t>
  </si>
  <si>
    <t>Kotak Securities(3*1G,1*500Mb,1*200Mb)
EQUITAS SMALL FINANCE BANK(3*100Mb,1*1G)
Flipkart(2*10G),  IIFL Capital(1*300Mb),  Indusind Bank (2*1G),  INFYNIX(1*1G),  NOVAC(1*2G,1*4G),  Primenet(1*1G),  Shriram Finance(1*1G),  Tata Communications(2*300Mb),  Tikona(1*1G)</t>
  </si>
  <si>
    <t>PRN-01-HYD-SIFYx-FDxxx-CHN-STTxx-VSNLx-U-200056, 200057
PRN-01-CHN-ADANI-xxxxx-CHN-STTxx-VSNLx-U-200059
PRN-01-CHN-NTTxx-AMBTR-CHN-STTxx-VSNLx-U-000965_1, 000956_2
PRN_01_CHN-NXTRA_SS_1_CHN-VSNL_SIVA_1_U_000334_1
INT_PRN_01_CHN-STT_AMB_1_CHN-VSNL_SIVA_1_P_000365_1, 000365_2</t>
  </si>
  <si>
    <t>09-01-2026  
15:22:43</t>
  </si>
  <si>
    <t>09-01-2026  
17:24:09</t>
  </si>
  <si>
    <t>Fiber cut b/w Jambudi to Devgarhbaria in worker path &amp; Langhanaj to Shihi Village in protection path on Delhi-Mumbai NLD section.</t>
  </si>
  <si>
    <t>ZOHO (1*100)</t>
  </si>
  <si>
    <t>VLE-01-MUM-YOTTA-PANVL-DEL-YOTTA-NOIDA-P-001437</t>
  </si>
  <si>
    <t>10-01-2026  
12:29:56</t>
  </si>
  <si>
    <t>10-01-2026  
12:30:44</t>
  </si>
  <si>
    <t>NDS Noi-Sanuali (2*100) BGP flapped</t>
  </si>
  <si>
    <t>Service observed flapped due to momentarily span degradation between Alphathum to Sahibabaad in NLD segment.</t>
  </si>
  <si>
    <t>VLE_EXT_01_UPW-LTVXX-NOIDA_N01_UPE-SNULI-ASCND_N01_P_000464
VLE_EXT_01_UPW-LTVXX-NOIDA_N01_UPE-SNULI-ASCND_N01_P_000467</t>
  </si>
  <si>
    <t>12-01-2026  
17:40:57
18:22:03
18:28:29
20:10:53</t>
  </si>
  <si>
    <t>12-01-2026  
17:41:28
18:22:56
18:34:15
20:12:56</t>
  </si>
  <si>
    <t>JUMP TRADING FINANCIAL (1*1G)</t>
  </si>
  <si>
    <t>Service was affected due to fiber span fluctuation on working path between Savli to Bhaiyapura Galteshwa and Fiber cut on protection path between Valsad to Kapletha in NLD segment.</t>
  </si>
  <si>
    <t>13-01-2026  
16:23:24</t>
  </si>
  <si>
    <t>13-01-2026  
16:23:36</t>
  </si>
  <si>
    <t>NDS Noi-Raxaul(3*100G)BGP flapped</t>
  </si>
  <si>
    <t>Services were impacted due to a fiber cut between Dadri and Alphathum Noida on the Noida–Raxaul path</t>
  </si>
  <si>
    <t>VLE_EXT_01_UPW-LTVXX-NOIDA_N01_BHR-RAXUL-BSTCL_N01_U_000471
VLE_EXT_01_UPW-LTVXX-NOIDA_N01_BHR-RAXUL-BSTCL_N01_U_000472
VLE_EXT_01_UPW-LTVXX-NOIDA_N01_BHR-RAXUL-BSTCL_N01_U_000473</t>
  </si>
  <si>
    <t>13-01-2026  
16:22:23
16:28:50</t>
  </si>
  <si>
    <t>13-01-2026  
16:25:33
16:28:51</t>
  </si>
  <si>
    <t>FGL DEL-Ultadanga CORONET-2 (100G)</t>
  </si>
  <si>
    <t>Service was affected due to fiber cut between Alphathum to Dadri ongoing in working path since 16:23 to 19:42 and span fluctuated between Alphathum to Sahibabaad in protection path since 16:23 to 16:25 in NLD segment.</t>
  </si>
  <si>
    <t>VLE-01-DEL-SIFYx-NOIDA-KOL-STTxx-ULTDG-P-001396</t>
  </si>
  <si>
    <t>15-01-2026  
12:07:56
14:44:57</t>
  </si>
  <si>
    <t>15-01-2026  
12:11:32
14:50:09</t>
  </si>
  <si>
    <t>1st Event- Services was affected due to fiber cut between Noida to Dadri on Worker path &amp; fiber cut between Noida to Sahibabad on Protection path in DEL-KOL NLD segments.
2nd Event- Services was affected due to worker channel was in reversion post fiber cut restored between Noida to Dadri &amp; protection channel was in reversion state post fiber cut between Noida to Sahibabad.</t>
  </si>
  <si>
    <t>19-01-2026  
11:39:15</t>
  </si>
  <si>
    <t>19-01-2026  
11:39:20</t>
  </si>
  <si>
    <t>NDS Noi-Raxaul(2*100G)BGP flapped</t>
  </si>
  <si>
    <t xml:space="preserve">Services were  affected due to span fluctuation between Dehri and Pausl in Noida-Raxual NLD segments. </t>
  </si>
  <si>
    <t>VLE_EXT_01_UPW-LTVXX-NOIDA_N01_BHR-RAXUL-BSTCL_N01_U_000476
VLE_EXT_01_UPW-LTVXX-NOIDA_N01_BHR-RAXUL-BSTCL_N01_U_000480</t>
  </si>
  <si>
    <t>20-01-2026  
11:18:18
11:24:46</t>
  </si>
  <si>
    <t>20-01-2026  
11:22:48
11:25:27</t>
  </si>
  <si>
    <t>Services were down due to a span fluctuation in link 1 Mumbai -Delhi NLD section from SV7 to SV11.</t>
  </si>
  <si>
    <t>20-01-2026  
15:22:36
15:38:28
15:39:19</t>
  </si>
  <si>
    <t>20-01-2026  
15:22:37
15:38:30
15:39:21</t>
  </si>
  <si>
    <t>NDS Noi-Sanuali (2*100)BGP flapped</t>
  </si>
  <si>
    <t>Servcies were flapped due to momentarily span degradation between Hardoi to Sahjanpur to Hardoi in NLD segment.</t>
  </si>
  <si>
    <t>24-01-2026  
14:59:11</t>
  </si>
  <si>
    <t>24-01-2026  
14:59:22</t>
  </si>
  <si>
    <t>Services were flapped due to span fluctuated between Jahanabaad to Chanduti in NLD segment.</t>
  </si>
  <si>
    <t>24-01-2026  
11:20:00</t>
  </si>
  <si>
    <t>24-01-2026  
11:21:29</t>
  </si>
  <si>
    <t>CHENNAI – KOLKATA Bongaon (Google)(100G)
Earth Telecom 5-Chennai-Ultadanga(100G)
Mumbai-Bongaon Google-01(100G)</t>
  </si>
  <si>
    <t>Services affected due to CHN-31556 (common section in Link 17 and Link 20)
Common section between Howrah to Tarkeshwar</t>
  </si>
  <si>
    <t>VLE-01-CHN-STTxx-VSNLx-KOL-LTVxx-GLBSN-P-000689
VLE-01-KOL-LTVxx-GLBSN-KOL-STTxx-ULTDG-P-001198
VLE-01-MUM-GPX02-CHNDV-KOL-LTVxx-GLBSN-P-001545</t>
  </si>
  <si>
    <t>24-01-2026  
14:59:12</t>
  </si>
  <si>
    <t>24-01-2026  
15:04:16</t>
  </si>
  <si>
    <t>CHENNAI – KOLKATA Bongaon (Google)(100G)
Earth Telecom 5-Chennai-Ultadanga(100G)
Mumbai-Bongaon Google-01(100G)
Chennai-Bongaon Google-3(50G)
Coronet-5(50G)</t>
  </si>
  <si>
    <t>Planned activity in worker path between Howrah to Tarkeshwar (Due to CHN-31556). Span fluctuation between Chanduati to Jahanabad at 14:59IST.</t>
  </si>
  <si>
    <t>VLE-01-KOL-LTVxx-GLBSN-KOL-STTxx-ULTDG-P-001546
VLE-01-CHN-STTxx-VSNLx-KOL-LTVxx-GLBSN-P-000689
VLE-01-KOL-LTVxx-GLBSN-KOL-STTxx-ULTDG-P-001198
VLE-01-MUM-GPX02-CHNDV-KOL-LTVxx-GLBSN-P-001545</t>
  </si>
  <si>
    <t>25-01-2026  
06:22:00</t>
  </si>
  <si>
    <t>25-01-2026  
07:07:39</t>
  </si>
  <si>
    <t>Cisco(1*1G),  Dhanalaxmi Bank (2*100Mb,1*500Mb), Equitas (1*100Mb,1*1G), EXTREME (1*7G,1*31G), Flipkart (2*5G), Gupshup (1*1G),  ICICI BANK(2*1G,1*30G), ICICI securities(1*1G,1*3G), Indusind Bank(3*1G), INFYNIX(1*1.5G),  Kotak Mahindra Bank(1*5G), Kotak Securities (1*500Mb,1*1G), Primenet (1*1G), Tata Comm (1*3G), YES Bank(2*1G),  YOTTA(1*1G)</t>
  </si>
  <si>
    <t>Power issue at Hyderabad Sify FD. Restored post power issue was resolved.
MCB was observed to be tripped at Sify Hyderabad location.</t>
  </si>
  <si>
    <t>TSHYDNGCSFYNC6500D01(10.100.17.5)</t>
  </si>
  <si>
    <t>25-01-2026  
11:06:43
11:06:58
11:07:17
11:07:38
21:14:22
21:42:30</t>
  </si>
  <si>
    <t>25-01-2026  
11:06:53
11:07:04
11:07:33
11:08:14
21:14:24
21:42:34</t>
  </si>
  <si>
    <t>Services were flapped due to span fluctuating between Biharsharif to Sipara in NLD segment.</t>
  </si>
  <si>
    <t>27-01-2026  
13:34:31
17:55:28</t>
  </si>
  <si>
    <t>27-01-2026  
13:34:46
17:55:30</t>
  </si>
  <si>
    <t>1st event- fiber cut between Sarnath to Sahupuri 
2nd event- Service was affected due to a reversion event following a fiber cut restored between Sarnath to Sahupuri in NLD segment.</t>
  </si>
  <si>
    <t>28-01-2026  
01:37:33</t>
  </si>
  <si>
    <t>28-01-2026  
01:43:10</t>
  </si>
  <si>
    <t xml:space="preserve">Service was down due to worker SNC in reversion post fiber cut restored between Sarnath to Sahupuri and span degradation between Baharia to Chapra in protection path. </t>
  </si>
  <si>
    <t>28-01-2026  
01:26:25</t>
  </si>
  <si>
    <t>28-01-2026  
01:26:59</t>
  </si>
  <si>
    <t>The mention links were affected due to span fluctuation between Sahapuri and Sarnath in the Noida – Raxaul NLD section.</t>
  </si>
  <si>
    <t>29-01-2026  
12:00:44</t>
  </si>
  <si>
    <t>29-01-2026  
12:01:00</t>
  </si>
  <si>
    <t>Services were down due to a momentary span fluctuation between Panki to Kanpur in the Delhi - Raxaul NLD section.</t>
  </si>
  <si>
    <t>29-01-2026  
13:27:14</t>
  </si>
  <si>
    <t>29-01-2026  
13:57:52</t>
  </si>
  <si>
    <t>FGL--EarthTelecom-6
(MUM GPX - Ultadanga) 1*100G</t>
  </si>
  <si>
    <t>Services was affected due to fiber cut between Saoner to Pendhurmav on Worker path and protection path was already down due to a loss of signal at KOL Globsyn NLD between BA card and WL5E card .</t>
  </si>
  <si>
    <t xml:space="preserve">VLE-01-MUM-GPX01-CHNDV-WBL-BONGN-ASCND-P-001591 </t>
  </si>
  <si>
    <t>30-01-2026  
02:00:08</t>
  </si>
  <si>
    <t>30-01-2026  
02:00:12</t>
  </si>
  <si>
    <t>TEJAYS DYNAMIC(1G)</t>
  </si>
  <si>
    <t>Services were affected due to a fiber cut in the worker path between Globsyn and Ultadanga &amp; in protection path  momentary fiber span degradation between Ultadanga to Sify.</t>
  </si>
  <si>
    <t>PRN-01-KOL-LTVxx-GLBSN-KOL-STTxx- ULTDG-P-001327
PRN-01-KOL-LTVxx-GLBSN-KOL-STTxx-ULTDG-P-001369</t>
  </si>
  <si>
    <t>01-02-2026  
08:14:51
08:17:17
08:32:21
08:46:20
09:28:05</t>
  </si>
  <si>
    <t>01-02-2026  
08:15:03
08:21:05
08:35:15
08:48:33
09:30:55</t>
  </si>
  <si>
    <t>FGL Earth Telecom 5-Chennai-Ultadanga(100G)</t>
  </si>
  <si>
    <t>1-Switching event observed due to Fiber span degradation between Howrah to Globsyn in Kolkatta-Vijayvada NLD section.
2-Services were affected due to loss of signal alarm on nxtra santhome in worker path &amp; protection path was down due to SNC was in reversion state post fiber cut restoration between Netmagic to Ambattur3.
3-Services were affected due to loss of signal alarm on nxtra santhome in worker path &amp; protection path was down due to SNC was in reversion state post fiber cut restoration between Netmagic to Ambattur3.
4-Services were affected due to loss of signal alarm on nxtra santhome in worker path &amp; protection path was down due to  fiber cut between Netmagic to Ambattur3.
5-Services were affected due to loss of signal alarm on nxtra santhome in worker path &amp; protection path was down due to SNC was in reversion state post fiber cut restoration between Netmagic to Ambattur3.</t>
  </si>
  <si>
    <t>VLE-01-CHN-NXTRA-SNTHM-KOL-LTVxx-GLBSN-P-001555</t>
  </si>
  <si>
    <t>03-02-2026
15:20:15</t>
  </si>
  <si>
    <t>03-02-2026  
15:20:17</t>
  </si>
  <si>
    <t>TTSL offnet service-Service experince switching due to fiber cut between Yazyurdu - Darende in our supplier network</t>
  </si>
  <si>
    <t>04-02-2026
10:50:14</t>
  </si>
  <si>
    <t>04-02-2026  
10:50:16</t>
  </si>
  <si>
    <t>Service was affected due to fiber span fluctuation on working path between MUM_LVSB to MUM_MTR_GPX2_1 and fiber Cut on protection path between MUM_MTR_CRTLS_2 to MUM_MTR_NM_DC6.</t>
  </si>
  <si>
    <t xml:space="preserve">PRN-01-MUM-GPX02-CHNDV-MUM-LVSBx-PRBDV-U-000543_1 
PRN-01-MUM-GPX02-CHNDV-MUM-LVSBx-PRBDV-U-000543_2 </t>
  </si>
  <si>
    <t>04-02-2026
19:15:48</t>
  </si>
  <si>
    <t>04-02-2026  
19:23:05</t>
  </si>
  <si>
    <t>JUMP TRADING FINANCIAL(1G)
SIFY TECHNOLOGIES LIMITED (2*10G)</t>
  </si>
  <si>
    <t>Fiber cut on working between IP02 Vaghodia and Salvi and fiber cut protection path between Kanzari and Kathlal in Mumbai–Gujarat NLD segment.</t>
  </si>
  <si>
    <t>PRN-01-MUM-GPX02-CHNDV-GUJ-MNRXX-GCITY-P-000988_1, 
PRN-01-MUM-GPX02-CHNDV-GUJ-MMRxx-GCITY-P-000988_2</t>
  </si>
  <si>
    <t>04-02-2026
18:59:16</t>
  </si>
  <si>
    <t>04-02-2026
20:40:47</t>
  </si>
  <si>
    <t>Sprint (200Mb)</t>
  </si>
  <si>
    <t>Service was down due to router SFP hung at STT BKC location. Service came up post the SFP was JOJI by field engineer.</t>
  </si>
  <si>
    <t>06-02-2026  
13:37:14</t>
  </si>
  <si>
    <t>06-02-2026  
15:27:01</t>
  </si>
  <si>
    <t>TCL(2*4G,2*2G,1*1.5G,6*1G,2*300mb,1*50Mb)
Kotak Mahindra Asset Management(2*1G,1*500Mb)
Jump Trading(1*1G), Sharekhan(1*2G), Sprint Telecom(1*100Mb)</t>
  </si>
  <si>
    <t>The services disruption occurred due to a router card malfunction at STT BKC location.The faulty card was successfully replaced by our field OPS team.</t>
  </si>
  <si>
    <t>MHMUMBSBKCACCIXR6D01 STT BKC (10.200.53.9) Mda 1/5</t>
  </si>
  <si>
    <t>06-02-2026  
15:57:04</t>
  </si>
  <si>
    <t>06-02-2026  
16:02:28</t>
  </si>
  <si>
    <t>Jump Trading 1*1Gig
SIFY TECHNOLOGIES LIMITED (2*10G)</t>
  </si>
  <si>
    <t>Service was affected due to fiber cut on working path between KATHLAL to GIFT-CITY_LAVARPAR and fiber cut on protection path between SAVLI to IP_02_VAGHODIA on the Mumbai–Gujarat NLD segment.</t>
  </si>
  <si>
    <t>08-02-2026  
17:19:13</t>
  </si>
  <si>
    <t>08-02-2026  
18:33:04</t>
  </si>
  <si>
    <t>BBNL(55G)</t>
  </si>
  <si>
    <t>PRN-01-BLR-CTRLS-ECPH1-BLR-MNOVA-RJNGR-P-000828_1
PRN-01-BLR-CTRLS-ECPH1-BLR-MNOVA-RJNGR-P-000828_2</t>
  </si>
  <si>
    <t>09-02-2026  
10:23:31
18:16:18
18:16:33
18:16:39</t>
  </si>
  <si>
    <t>09-02-2026  
10:26:05
18:16:30
18:16:35
18:19:15</t>
  </si>
  <si>
    <t>service was impacted due to fiber cut between Robertsgunj to Sahupuri on the Noida–Raxual.
Service was affected due to channel was in reversion state post fiber cut restored between Robertsgunj to Sahupuri on the Noida–Raxual path.</t>
  </si>
  <si>
    <t>10-02-2026  
15:09:00
15:48:44
15:52:03</t>
  </si>
  <si>
    <t>10-02-2026  
15:09:02
15:49:02
15:55:00</t>
  </si>
  <si>
    <t>Services were impacted due to fiber cut between Robertsgunj to Sahupuri on the Noida–Raxual path during the mentioned time.</t>
  </si>
  <si>
    <t>10-02-2026  
13:40:18</t>
  </si>
  <si>
    <t>10-02-2026  
13:40:20</t>
  </si>
  <si>
    <t>Millennium Consulting(200mb)</t>
  </si>
  <si>
    <t>Offnet service of GCX- Service was impacted due to an issue on our backbone link between Kuwait and Dubai. The impact was caused by a major error alarm on the FPC card of the Kuwait router. Alarm was cleared by remotely reseating the card, after which the backbone link was fully restored. Card has remained stable for a prolonged period and is currently functioning normally.</t>
  </si>
  <si>
    <t xml:space="preserve">INGEP39271 </t>
  </si>
  <si>
    <t>10-02-2026  
15:51:34
17:32:19</t>
  </si>
  <si>
    <t>10-02-2026  
15:55:01
17:34:37</t>
  </si>
  <si>
    <t>NCELL Noi-Raxaul(100G)</t>
  </si>
  <si>
    <t>Service affected due to fiber cut between Robertsgunj to Sahupuri</t>
  </si>
  <si>
    <t>VLE_EXT_01_UPW- LTVXX-NOIDA_N01_BHR-RAXUL-BSTCL_N01_U_000474</t>
  </si>
  <si>
    <t>11-02-2026  
06:05:54</t>
  </si>
  <si>
    <t>11-02-2026  
06:05:56</t>
  </si>
  <si>
    <t>Offnet service of GCX- Service was affected by planned activity PE2026021051427.Service was impacted due to planned activity in our provider’s network affecting the Kuwait–Marseille backbone link. The impact was related to fiber relocation work carried out at Istanbul – Gayrettepe, Acibadem, and Atakoy (Turkey). During this maintenance window, the backbone service experienced a temporary disruption.</t>
  </si>
  <si>
    <t>12-02-2026  
13:18:26
13:48:29</t>
  </si>
  <si>
    <t>12-02-2026  
13:19:04
13:48:41</t>
  </si>
  <si>
    <t>The services were impacted due to a span fluctuation between Robertsgunj and Sahupuri on the Noida–Raxaul NLD segment</t>
  </si>
  <si>
    <t>13-02-2026  
10:41:23
11:21:15</t>
  </si>
  <si>
    <t>13-02-2026  
10:43:26
11:22:41</t>
  </si>
  <si>
    <t>FGL Chennai-Bongaon Google-3(100G)
(Vlan-1468 &amp;1470)</t>
  </si>
  <si>
    <t xml:space="preserve">1st event- Service was affected due to fiber cut between Berigai to Kuppam S168_2 &amp; S166_2 and Fiber cut in NLD-LINK-17 between Tekkali to Ichapuram S410_1.
2nd event- Link was affected due to fiber cut in LTC NLD segment between Tekkali to Ichapuram on worker path and protection channel was in reversion state post fiber cut restored between Berigai to Kuppam . </t>
  </si>
  <si>
    <t>VLE-01-CHN-STTxx-VSNLx-KOL-LTVxx-GLBSN-P-000689</t>
  </si>
  <si>
    <t>13-02-2026  
11:30:22</t>
  </si>
  <si>
    <t>13-02-2026  
11:37:33</t>
  </si>
  <si>
    <t>FGL Ultadanga-Bongaon(50G)Vlan-1429</t>
  </si>
  <si>
    <t xml:space="preserve">Link was affected due to fiber cut in LTC NLD segment between Tekkali to Ichapuram on worker path and protection channel was in reversion state post fiber cut restored between Berigai to Kuppam . </t>
  </si>
  <si>
    <t>VLE-01-CHN-STTxx-VSNLx-KOL-LTVxx-GLBSN-P-001377</t>
  </si>
  <si>
    <t>17-02-2026  
14:45:49</t>
  </si>
  <si>
    <t>17-02-2026  
14:48:04</t>
  </si>
  <si>
    <t>YES BANK(2*10G,1*4G,1*1G)
TIKONA(1*2.5G)</t>
  </si>
  <si>
    <t>Primary path- Service was flapped due to momentarily span degradation between Bangalore NM WF to Bangalore Ctrls S.
Secondary Path- Service was flapped due to span fluctuated between Bangalore MN R Nagar to Bangalore Ctrls S.</t>
  </si>
  <si>
    <t>INT_PRN_01_BLR-CTRL_S_1_BLR-NM_WF_1_P_000300_1
INT_PRN_01_BLR-CTRL_S_1_BLR-NM_WF_1_P_000300_2</t>
  </si>
  <si>
    <t>18-02-2026  
12:06:40
14:39:06</t>
  </si>
  <si>
    <t>18-02-2026  
12:17:35
15:21:09</t>
  </si>
  <si>
    <t>ZOHO(100G)</t>
  </si>
  <si>
    <t>1st Event- At 11:59 IST, span fluctuation was observed between SV-16 and Phadge on the worker path.
Worker channels were under restoration at that time.
At 12:06 IST, a fiber cut occurred between Gift City Lavarpar and Lahalganj, resulting in a service outage.
Services were automatically mesh-restored through an alternate mesh path.
 Services restored at 12:17 IST.
2nd event- The worker path went down due to an “Automatic Power Reduction (APR) Active” alarm at Devgarhbaria.
At 14:39 IST, a fiber cut occurred between Asuria Bharuch and Koshamba.
Services were restored post APR issue was resolved.</t>
  </si>
  <si>
    <t>18-02-2026  
12:37:34
14:39:06</t>
  </si>
  <si>
    <t>18-02-2026  
12:39:07
14:46:09</t>
  </si>
  <si>
    <t>FGL--Google (GPX1) (MUM Gpx - Ultadanga) 1*50Gig
P-002925</t>
  </si>
  <si>
    <t>1st Event-The fiber cut between Gift City Lavarpar and Lahalganj (since 12:06 IST) was still ongoing.At 12:37 IST, a minor span fluctuation was observed between Phadge and SV-16.
2nd event-The worker path went down due to an “Automatic Power Reduction (APR) Active” alarm at Devgarhbaria.
At 14:39 IST, a fiber cut occurred between Asuria Bharuch and Koshamba.</t>
  </si>
  <si>
    <t>19-02-2026  
12:00:22</t>
  </si>
  <si>
    <t>19-02-2026  
12:10:51</t>
  </si>
  <si>
    <t>FGL--Google &amp; CORONET(GPX1) (MUM Gpx - Ultadanga) 1*100Gig
VLAN=1416&amp;1423
P-002925</t>
  </si>
  <si>
    <t>fiber cut was ongoing on the protection path between Channi Bridge and Vernama Vadodara in the Mumbai–Delhi NLD section.At approximately 12:00 Hrs IST, another fiber cut occurred between IBM and GPX-2 on the worker path of the Mumbai–Delhi NLD section, which resulted in the service disruption.</t>
  </si>
  <si>
    <t>VLE-01-MUM-GPX02-CHNDV-KOL-LTVxx-GLBSN-P-001250</t>
  </si>
  <si>
    <t>19-02-2026  
12:00:20</t>
  </si>
  <si>
    <t>19-02-2026  
12:10:30</t>
  </si>
  <si>
    <t>Jump Trading 1*1Gig
SIFY TECHNOLOGIES LIMITED 2*10Gig</t>
  </si>
  <si>
    <t>20-02-2026  
11:41:54</t>
  </si>
  <si>
    <t>20-02-2026  
11:41:5</t>
  </si>
  <si>
    <t xml:space="preserve">Service was impacted as Kuwait - Marseille backbone services were impacted due to faulty SFP card in Edrine
in supplier network. They have replace it with spare one and since then links are stable and working as expected. </t>
  </si>
  <si>
    <t>21-02-2026  
16:05:28</t>
  </si>
  <si>
    <t>21-02-2026  
16:06:44</t>
  </si>
  <si>
    <t>At 16:02:43 IST on 21st Feb 2026, a CCMD card failure alarm observed at Mumbai GPX2 in worker path.
At 16:05:28 IST, a Fiber cut was observed between Channi Bridge to Kanzari on the protection path, resulting in service disruption.
Worker channel was under restoration at that time.
Service was automatically mesh-restored through an alternate mesh path.</t>
  </si>
  <si>
    <t>23-02-2026  
12:42:04
14:59:44</t>
  </si>
  <si>
    <t>23-02-2026  
12:53:37
15:03:18</t>
  </si>
  <si>
    <t>FGL Ultadanga-Bongaon(100G)Vlan-1429 &amp; 1486</t>
  </si>
  <si>
    <t>Link-6 is was down due to planned event (CHN-32192) between Podili to Atmakkuru.  Link-3 was down due to fiber cut in between GPX-2 to CTRL-S since 12:42 hrs IST</t>
  </si>
  <si>
    <t>23-02-2026  
13:28:15</t>
  </si>
  <si>
    <t>23-02-2026  
13:29:15</t>
  </si>
  <si>
    <t>FGL Chennai-Bongaon Google VLAN- 1470 (100G)
Mumbai-Bongaon Google-01(100G)</t>
  </si>
  <si>
    <t>VLE-01-CHN-STTxx-VSNLx-KOL-LTVxx-GLBSN-P-000689
VLE-01-MUM-GPX02-CHNDV-KOL-LTVxx-GLBSN-P-001545</t>
  </si>
  <si>
    <t>23-02-2026  
13:31:50</t>
  </si>
  <si>
    <t>23-02-2026 
13:33:34</t>
  </si>
  <si>
    <t>FGL Chennai-Bongaon Google VLAN- 1470 (100G)</t>
  </si>
  <si>
    <t>Planned activity in Link 6 between VTPS to Mangollu (CHN-32258) &amp; planned activity between Podili to Atmakuru. Fiber cut in Link-18 Saoner to Pendurma at 13:28 hrs IST. Channels rerouted via alternate.</t>
  </si>
  <si>
    <t>23-02-2026  
15:43:25
20:14:20
21:23:04</t>
  </si>
  <si>
    <t>23-02-2026  
15:44:15
20:23:27
21:27:31</t>
  </si>
  <si>
    <t>FGL Chennai-Ultadanga Earth Telecom VLAN 401-410
(100G)</t>
  </si>
  <si>
    <t>1st Event-Worker path Link-6 is was down due to planned event (CHN-32192) between Podili to Atmakkuru.
Fiber cut in protection path between IP4 TO SV20 in Link-20.
Channel rerouted via alternate path.
2nd event-Worker path Link-6 is was down due to planned event (CHN-32192) between Podili to Atmakkuru &amp; protection path was down due to planned event (CHN-32293) b/w Alphatum to GGN sectra.
3rd event-Worker path Link-6 is was down due to planned event (CHN-32192) between Podili to Atmakkuru &amp; reversion event due to fiber cut restoration between Alphatum to GGN spectra (CHN-32293) in protection path.</t>
  </si>
  <si>
    <t>23-02-2026  _x000D_
13:29:23</t>
  </si>
  <si>
    <t>23-02-2026  _x000D_
13:29:25</t>
  </si>
  <si>
    <t>Flipkart (2*5G)</t>
  </si>
  <si>
    <t>Link-6 is was down due to planned event (CHN-32192) between Podili to Atmakkuru in worker path &amp; Fiber pan fluctuated b/w Sunguvarchatram to Sumai Thangi in protection path.</t>
  </si>
  <si>
    <t>PRN-01-HYD-SIFYx-FDxxx-CHN-STTxx-VSNLx-U-200056
PRN-01-HYD-SIFYx-FDxxx-CHN-STTxx-VSNLx-U-200057
PRN-01-MUM-GPX02-CHNDV-CHN-STTxx-VSNLx-P-000521</t>
  </si>
  <si>
    <t>24-02-2026
20:18:24</t>
  </si>
  <si>
    <t>24-02-2026
20:26:27</t>
  </si>
  <si>
    <t>FGL (1*100G MUM-KOL)</t>
  </si>
  <si>
    <t xml:space="preserve">Link-1 channels went down due to planned activity (CHN-32309) at 20:18 hrs IST. Span fluctuation in Vernama vodadara to Channi bridge (Subnet S85) which caused Link-2 channel to go down. </t>
  </si>
  <si>
    <t>25-02-2026  
11:44:27</t>
  </si>
  <si>
    <t>25-02-2026  
11:48:24</t>
  </si>
  <si>
    <t>The service was impacted due to a fiber  cut between Alphatum-dadri on the NLD segment during the mentioned timestamp.</t>
  </si>
  <si>
    <t>25-02-2026  
11:47:55</t>
  </si>
  <si>
    <t>25-02-2026  
12:44:07</t>
  </si>
  <si>
    <t>FGL Delhi-Ultadanga Coronet(100G)</t>
  </si>
  <si>
    <t>Port was unresponsive (hung) at the Alphathum Noida end(Tx). After resetting the port at the Alphathum Noida location the service was successfully restored</t>
  </si>
  <si>
    <t>VLE-01-DEL-SIFYx-NOIDA-KOL-STTxx-ULTDG-P-001396
UPW-NLD-LTVXX-NOIDA_N01</t>
  </si>
  <si>
    <t>25-02-2026  
17:39:00</t>
  </si>
  <si>
    <t>25-02-2026  
17:47:00</t>
  </si>
  <si>
    <t>Jump Trading (1*1Gig)
SIFY  (2*10Gig)</t>
  </si>
  <si>
    <t xml:space="preserve">Fiber cut in Link 2 between Lavarpur to Kathalal since 15:56 hrs. Fiber cut in Link 22 Savoli to Vagodia since 17:39 hrs. </t>
  </si>
  <si>
    <t>26-02-2026  
01:23:59</t>
  </si>
  <si>
    <t>26-02-2026  
01:43:49</t>
  </si>
  <si>
    <t>VLE-01-CHN-STTxx-VSNLx-KOL-LTVxx-GLBSN-P-000689
NTT Ambattur
TN-CHN-ABT-NTT-M-C-6500D-02
TN-CHN-ABT-NTT-M-C-6500D-01</t>
  </si>
  <si>
    <t>IIFL(300Mb), INFYNIX(1G), NOVAC(2G),TCL(2*300Mb)</t>
  </si>
  <si>
    <t>NTT Ambattur
TN-CHN-ABT-NTT-M-C-6500D-02
TN-CHN-ABT-NTT-M-C-6500D-01</t>
  </si>
  <si>
    <t>26-02-2026  
02:39:58
03:00:37</t>
  </si>
  <si>
    <t>26-02-2026  
02:42:09
03:01:19</t>
  </si>
  <si>
    <t>NDS Noi-Sanauli(2*100G)BGP flapped</t>
  </si>
  <si>
    <t>CHN-32372 shifting of LTC panel at Rasra site.//LINK_11</t>
  </si>
  <si>
    <t>27-02-2026  
14:44:44</t>
  </si>
  <si>
    <t>27-02-2026  
17:07:51</t>
  </si>
  <si>
    <t>NDS Noi-Sanauli(2*100G)BGP NOT flapped</t>
  </si>
  <si>
    <t>faulty interface/line card was identified as the root cause of the errors.
The defective card was replaced, after which detailed link parameter verification was carried out to ensure stability. Post-replacement observations confirmed that the link was stable and operating within normal thresholds. (UPW-NLD-LTVXX-NOIDA_N01 -2/3/L1 )S6AD600H</t>
  </si>
  <si>
    <t>VLE_EXT_01_UPW-LTVXX-NOIDA_N01_UPE-SNULI-ASCND_N01_P_000467
VLE_EXT_01_UPW-LTVXX-NOIDA_N01_UPE-SNULI-ASCND_N01_U_000468
(UPW-NLD-LTVXX-NOIDA_N01 -2/3/L1 )S6AD600H
(BGP was not flapped)</t>
  </si>
  <si>
    <t>NCELL Noi-Sanauli(100G)</t>
  </si>
  <si>
    <t>VLE_EXT_01_UPW-LTVXX-NOIDA_N01_UPE-SNULI-ASCND_N01_U_000469
(UPW-NLD-LTVXX-NOIDA_N01 -2/3/L1 )S6AD600H</t>
  </si>
  <si>
    <t>02-03-2026  
16:23:12</t>
  </si>
  <si>
    <t>02-03-2026  
16:30:37</t>
  </si>
  <si>
    <t>Jump Trading (1*1Gig)
SIFY  (2*10Gig)
Exotel(1*1G)</t>
  </si>
  <si>
    <t>Worket Path-Fiber cut in NLD-LINK-2 b/w KATHLAL to GIFT-CITY_LAVARPAR_S80_5
Protection Path- Fiber cut in NLD-LINK-22 in b/w AJUPURA_KAPADVANJ to BHAIYAPURA_GALTESHWAR_ S915_3</t>
  </si>
  <si>
    <t>03-03-2026  
01:53:54</t>
  </si>
  <si>
    <t>03-03-2026  
02:19:58</t>
  </si>
  <si>
    <t>Delhi-Ultadanga Coronet(100G)Vlan-1434</t>
  </si>
  <si>
    <t>The issue was caused by a Loss of Frame (LOF) condition on the Ciena TRM card. Since the alarm cleared only after deleting and re-creating the cross-connection and facility configuration, and no hardware fault was identified during troubleshooting, the root cause is suspected the bug on the Ciena TRM card.</t>
  </si>
  <si>
    <t>05-03-2026  
17:56:49</t>
  </si>
  <si>
    <t>05-03-2026  
17:56:50</t>
  </si>
  <si>
    <t>TTSL offnet service-The service was impacted due to a fault observed in the supplier network. The issue was identified as a path failure between Techo and Zenta , and another path failure between Zenta and MUP CO Light.</t>
  </si>
  <si>
    <t>06-03-2026  
10:11:00</t>
  </si>
  <si>
    <t>06-03-2026  
10:11:26</t>
  </si>
  <si>
    <t>Service were affected due to fiber span fluctuation occurred on the working path between Madhanur to Natrampalli in the Bangalore-Chennai NLD section and a fiber cut on the protection path between Maheswaram to T203 in the Ambazari–Hyderabad NLD section.</t>
  </si>
  <si>
    <t>VLE-01-MUM-GPX02-CHNDV-CHN-NMDCx-xxxxx-P-000935
VLE-01-MUM-GPX02-CHNDV-CHN-NMDCx-xxxxx-P-001332</t>
  </si>
  <si>
    <t>06-03-2026  
12:57:07
12:57:28
13:02:27
17:53:07</t>
  </si>
  <si>
    <t>06-03-2026  
12:57:09
12:57:52
13:02:35
17:53:09</t>
  </si>
  <si>
    <t>1 to 3rd event- service was affected due to Fiber cut between Sahibabad to Murad Nagar in Noida-Globsyn NLD section.
4th event-Service was affected due to channel where in reversion state post fiber cut restored between Sahibabad to Murad Nagar in Noida-Globsyn NLD section.</t>
  </si>
  <si>
    <t>06-03-2026  
12:38:26
22:19:54</t>
  </si>
  <si>
    <t>06-03-2026  
12:41:01
22:19:56</t>
  </si>
  <si>
    <t>TTSL offnet service-
1st Event-Service was affected due to dual media issue between TECHNO to zenta and ZENTA to light hall. services restored post fiber path restored.
2nd Event- The service was impacted due to a fault observed in the supplier network. The issue was identified as a path failure between Techo and Zenta , and another path failure between Zenta and MU_P CO_Light-hall.</t>
  </si>
  <si>
    <t>07-03-2026  
02:09:28
02:26:33
02:43:56
03:45:00
03:53:52</t>
  </si>
  <si>
    <t>07-03-2026  
02:11:08
02:28:13
02:46:33
03:46:41
03:55:32</t>
  </si>
  <si>
    <t>Service was flapping due to Internal patching clearing activity in Gajrauala site from Tx end (Tx TT-INC-1083745)</t>
  </si>
  <si>
    <t>VLE_EXT_01_UPW-LTVXX-NOIDA_N01_UPE-SNULI-ASCND_N01_P_000464
VLE_EXT_01_UPW-LTVXX-NOIDA_N01_UPE-SNULI-ASCND_N01_P_000467
UPW-NLD-GAJRL-UPTCL_N01</t>
  </si>
  <si>
    <t>07-03-2026  
05:17:29</t>
  </si>
  <si>
    <t>07-03-2026  
05:17:32</t>
  </si>
  <si>
    <t>TTSL offnet service-Service was impacted due to a path failure between TECHNO and Zenta, along with another path failure between Zenta and Light-hall</t>
  </si>
  <si>
    <t>11-03-2026  
15:12:38
21:38:03</t>
  </si>
  <si>
    <t>11-03-2026  
15:14:22
21:38:08</t>
  </si>
  <si>
    <t xml:space="preserve">1st Event- Service was affected due to observing Fiber cut in NLD-LINK-12 from Biharsharif 220/132   KV to Sipara 220/132 KV_N73_3 and Mokama 220/132 KV_N73_4
2nd Event- Reversion event post fiber cut resorted between Biharsharif 220/132   KV to Sipara 220/132 KV_N73_3 and Mokama 220/132 KV_N73_4 </t>
  </si>
  <si>
    <t>12-03-2026  
00:06:21</t>
  </si>
  <si>
    <t>12-03-2026  
00:14:42</t>
  </si>
  <si>
    <t>Google Delhi FGL StarTrek (40G)VLAN-1462</t>
  </si>
  <si>
    <t>Affected due to migration activity(Tx).CHN-32255</t>
  </si>
  <si>
    <t xml:space="preserve"> VLE-01-DEL-SIFYx-NOIDA-KOL-LTVxx-GLBSN-P-001296</t>
  </si>
  <si>
    <t>13-03-2026  
10:34:31</t>
  </si>
  <si>
    <t>13-03-2026  
10:34:33</t>
  </si>
  <si>
    <t>TTSL offnet service-The service was impacted due to multiple faults in the supplier network. The issue was identified as a fiber cut between LVSBMMR_RackB08 and Rosymery, as well as between Gypsy and KENT_ENG_Powai, within the supplier network.</t>
  </si>
  <si>
    <t>14-03-2026  
12:39:38</t>
  </si>
  <si>
    <t>14-03-2026  
12:41:15</t>
  </si>
  <si>
    <t>ISHAN(1*10G)
FLIPKART(2*5G)</t>
  </si>
  <si>
    <t>Worker path- Link was affected fiber cut between NTT Ambattur2 to Adani (S821) in Chennai metro segment.
Protection path - Link is affected due to fiber cut between Sify Tidel park2 to Adani (S822) in Chennai metro segment.</t>
  </si>
  <si>
    <t>PRN-01-CHN-ADANI-xxxxx-CHN-STTxx-VSNLx-U-200058
PRN-01-CHN-ADANI-xxxxx-CHN-STTxx-VSNLx-U-200059</t>
  </si>
  <si>
    <t>15-03-2026  
04:41:41
6:50:43</t>
  </si>
  <si>
    <t>15-03-2026  
04:58:34
06:58:25</t>
  </si>
  <si>
    <t>ZOHO(1*100G)</t>
  </si>
  <si>
    <t>Affected due to power issue at GGN Spectra and Spectranet ILA location.</t>
  </si>
  <si>
    <t>15-03-2026  
08:03:47</t>
  </si>
  <si>
    <t>15-03-2026  
08:03:48</t>
  </si>
  <si>
    <t>TTSL offnet service-The service disruption occurred due to multiple faults within the supplier network. The issue was traced to errors between Kashinath Dhuru Marg and Station Road, along with a fiber cut between Zenta and Light Hall within the supplier network.</t>
  </si>
  <si>
    <t>15-03-2026  
15:26:30</t>
  </si>
  <si>
    <t>15-03-2026  
15:28:32</t>
  </si>
  <si>
    <t>ZOHO(1*25G,2*3G)
YOTTA(1*5G)
WI BRO SOLUTIONS(1*5G)</t>
  </si>
  <si>
    <t>PRN-01-DEL-LTVXX-NOIDA-DEL-YOTTA-NOIDA-P-000518</t>
  </si>
  <si>
    <t>16-03-2026  
06:31:02
06:31:02</t>
  </si>
  <si>
    <t>16-03-2026  
06:31:03
06:31:15</t>
  </si>
  <si>
    <t>TTSL offnet service-
1st Event-The service disruption occurred due to multiple faults within the supplier network. The issue was traced to errors between Kashinath Dhuru Marg and Station Road, along with a fiber cut between Zenta and Light Hall within the supplier network.
2nd Event- The service was impacted due to multiple faults within the supplier network. The issue was identified as errors between Kashinath Dhuru Marg to Station Road location, along with a fiber cut between Zenta to Light Hall location within the supplier network.
The services were restored via mesh restoration path.</t>
  </si>
  <si>
    <t>16-03-2026  
11:10:09</t>
  </si>
  <si>
    <t>16-03-2026  
11:11:20</t>
  </si>
  <si>
    <t>NDS Noi-Raxaul(5*100G)BGP flapped</t>
  </si>
  <si>
    <t>Service was affected due to Fiber cut between Noida to Dadri in NLD section in worker path and fiber cut between Dadari to Sahibabad in protection path.</t>
  </si>
  <si>
    <t>VLE_EXT_01_UPW-LTVXX-NOIDA_N01_BHR-RAXUL-BSTCL_N01_U_000471
VLE_EXT_01_UPW-LTVXX-NOIDA_N01_BHR-RAXUL-BSTCL_N01_U_000472
VLE_EXT_01_UPW-LTVXX-NOIDA_N01_BHR-RAXUL-BSTCL_N01_U_000475
VLE_EXT_01_UPW-LTVXX-NOIDA_N01_BHR-RAXUL-BSTCL_N01_U_000473
VLE_EXT_01_UPW-LTVXX-NOIDA_N01_BHR-RAXUL-BSTCL_N01_U_000476</t>
  </si>
  <si>
    <t>18-03-2026  
11:52:00</t>
  </si>
  <si>
    <t>18-03-2026  
11:54:00</t>
  </si>
  <si>
    <t>Millennium Consulting(2*1G)
INFYNIX(1*5G)</t>
  </si>
  <si>
    <t xml:space="preserve">Worker path- Fiber cut in NLD-LINK-4 b/w Akola to Badnera_S157_12 
Protection path - Service was down due to reversion state post Fiber cut in NLD-LINK-4 b/w Akola to Badnera_S157_12 </t>
  </si>
  <si>
    <t>PRN-01-MUM--GPX02-CHNDV-BLR-CTRLS-ECPH1-P-000538_1
PRN-01-MUM-GPX02-CHNDV-BLR-CTRLS-ECPH1-P-001183_1
PRN-01-MUM-GPX02-CHNDV-BLR-CTRLS-ECPH1-U-000538_2
PRN-01-MUM-GPX02-CHNDV-BLR-CTRLS-ECPH1-U-001183_2</t>
  </si>
  <si>
    <t>20-03-2026  
14:18:37
14:30:27</t>
  </si>
  <si>
    <t>20-03-2026  
14:18:38
14:30:29</t>
  </si>
  <si>
    <t>Service was affected due to observing Fiber cut in NLD-LINK-12 from Biharsharif</t>
  </si>
  <si>
    <t>21-03-2026  
13:22:32</t>
  </si>
  <si>
    <t>21-03-2026  
13:33:50</t>
  </si>
  <si>
    <t>FGL CHN-Ultadanga(50G)Vlan-1429</t>
  </si>
  <si>
    <t>CHN-33427 was ongoing in working path between Chatrapur to 
Narenderpur, fiber cut observed between Mumbai GPX2 to Mumbai CTRL-S on the protection path</t>
  </si>
  <si>
    <t>24-03-2026  
10:00:48</t>
  </si>
  <si>
    <t>24-03-2026  
10:02:16</t>
  </si>
  <si>
    <t>To minimize customer traffic impact , SNC manually switched to the alternate path due to which link was down.</t>
  </si>
  <si>
    <t>25-03-2026  
04:41:09</t>
  </si>
  <si>
    <t>25-03-2026  
04:41:10</t>
  </si>
  <si>
    <t>Millennium Consulting(200Mb)</t>
  </si>
  <si>
    <t>FLAG offnet service- RFO awaited</t>
  </si>
  <si>
    <t>FLAG CKT:INGEP39271</t>
  </si>
  <si>
    <t>25-03-2026  
13:49:12</t>
  </si>
  <si>
    <t>25-03-2026  
13:49:59</t>
  </si>
  <si>
    <t>Noida -Sanauli services flapped due to span degradation b/w Sahjahanpur 220KV to  Hardoi 220KV (3 dB degraded).</t>
  </si>
  <si>
    <t>25-03-2026  
20:50:13</t>
  </si>
  <si>
    <t>25-03-2026  
20:50:17</t>
  </si>
  <si>
    <t>Working-Service was flapped due to momentary span degradation between Adani to Sify Tidel park2 (S822) in Chennai Metro segment.
Protection-Service was affected due to fiber cut between NTT Ambattur2 to Adani (S821) in Chennai metro segment.</t>
  </si>
  <si>
    <t>27-03-2026  
05:45:45
12:51:54
22:42:29</t>
  </si>
  <si>
    <t>27-03-2026  
05:45:54
12:52:10
22:42:38</t>
  </si>
  <si>
    <t>1st Event- Fiber cut between Mokama to Samastipur 
2nd Event- reversion event post fiber cut restored bw Mokama to Samastipur
3rd Event- Fiber cut between Jahanabad to Sipara</t>
  </si>
  <si>
    <t>29-03-2026  
09:46:06</t>
  </si>
  <si>
    <t>29-03-2026  
09:47:29</t>
  </si>
  <si>
    <t>Fiber cut in NLD link between Jahanabad to Sipara</t>
  </si>
  <si>
    <t>30-03-2026  
04:41:09</t>
  </si>
  <si>
    <t>MUM-Marseille TLC 80G (NDS)
(Not Reported to the customer)</t>
  </si>
  <si>
    <t>TCL Supplier- EuroAsia cable system is partially impacted since 7:21 UTC/ 30th Mar 2026 due to subsea cable fault located at approximately 110Km from Mumbai (Mumbai-Zafarana in TGNEA )</t>
  </si>
  <si>
    <t xml:space="preserve">TCL CKT:091MUMB0020A037471 </t>
  </si>
  <si>
    <t>01-04-2026  
11:46:37</t>
  </si>
  <si>
    <t>01-04-2026  
11:48:31</t>
  </si>
  <si>
    <t>Service was affected due to Worker path down due to fiber cut b/w NM Mahape to GPX2_3 in Mumbai metro section and protection path down due to fiber cut b/w Yotta to Sify Rable in Mumbai metro section since 11:35 IST.
service restored via mesh path.</t>
  </si>
  <si>
    <t>01-04-2026  
19:45:00</t>
  </si>
  <si>
    <t>02-04-2026  
11:11:10</t>
  </si>
  <si>
    <t>CHN-SING CT 100G Backbone
(Not Reported to the customer)</t>
  </si>
  <si>
    <t>Patch chord was disconnected by China Telecom</t>
  </si>
  <si>
    <t xml:space="preserve">CT CKT:14883189 </t>
  </si>
  <si>
    <t>02-04-2026  
19:11:12</t>
  </si>
  <si>
    <t>02-04-2026  
19:11:14</t>
  </si>
  <si>
    <t xml:space="preserve">Services were impacted due to fiber span degradation between Zamnia to Ramgarhia in Delhi- Raxual NLD segment. </t>
  </si>
  <si>
    <t>03-04-2026  
11:44:53</t>
  </si>
  <si>
    <t>03-04-2026  
11:46:58</t>
  </si>
  <si>
    <t>Deshkal(1*25G),Edgerede(1*10G),Mahindra &amp; Mahindra Financial Services(1*500Mpbs)
Millennium(1*1Gig),Tata Communications (1*5G),Tikona(1*1G,2*2G,1*2.5G,1*3G,2*4G),Times Internet(3*1G),Tejays Dynamic (1*1Gig) , Marico(1*500Mpbs),Ishan Netsol (1*100Mpbs),Zenlayer(1*2G)</t>
  </si>
  <si>
    <t>Worker:Span fluctuation b/w Ctrls_2 to NMDC6 in Mumbai Metro Section.
services restored via mesh path.
Protection:Span fluctuation b/w GPX2_1 to LVSB in Mumbai Metro Section.</t>
  </si>
  <si>
    <t>PRN-01-MUM-GPX02-CHNDV-MUM-LVSBx-PRBDV-U-000543_1 
PRN-01-MUM-GPX02-CHNDV-MUM-LVSBx-PRBDV-U-000543_2</t>
  </si>
  <si>
    <t>03-04-2026  
15:13:20</t>
  </si>
  <si>
    <t>03-04-2026  
15:14:01</t>
  </si>
  <si>
    <t>TTSL offnet service-Service was affected due to media issue in our supplier network. Service was affected due to Errors b/w GypsyCHSL to ZENTA in working path and observed Switching hit on protection path.</t>
  </si>
  <si>
    <t>03-04-2026  
23:53:00</t>
  </si>
  <si>
    <t>04-04-2026  
00:28:00</t>
  </si>
  <si>
    <t>FGL
Mumbai-Bongaon Google(50G) VLAN-1423
Chennai-Bongaon Google(100G)VLAN-1470
Ultadanga-Bongaon Coronet Corp ltd.-3(100G)VLAN-1458</t>
  </si>
  <si>
    <t>SA CHN-33484 for S6AD400H card retrofit at Kolkata metro on 3rd April 2026</t>
  </si>
  <si>
    <t>VLE-01-KOL-LTVxx-GLBSN-KOL-STTxx-ULTDG-P-001265 
VLE_EXT_01_KOL-GLBSN-LTVXX_N01_WBL-BONGN-ASCND_N01_P_000410 
VLE-01-KOL-STTxx-ULTDG-WBL-BONGN-ASCND-P-001456</t>
  </si>
  <si>
    <t>03-04-2026  
21:42:59</t>
  </si>
  <si>
    <t>03-04-2026  
21:43:11</t>
  </si>
  <si>
    <t>Link impacted due to fiber cut between Faridnagar to Simbhaoli in LTC NLD media.</t>
  </si>
  <si>
    <t>04-04-2026  
07:49:09</t>
  </si>
  <si>
    <t>04-04-2026  
07:49:14</t>
  </si>
  <si>
    <t>06-04-2026  
15:27:42
15:37:36
15:43:07
16:42:54</t>
  </si>
  <si>
    <t>06-04-2026  
15:27:44
15:37:50
15:43:08
16:42:55</t>
  </si>
  <si>
    <t>1st Event- service was affected due to Fiber span fluctuation between Dohna to Shahjahanpur.
2nd &amp; 3rd Event-service was affected due to Fiber cut between Dohna to Shahjahanpur.
4th Event-service was affected due to channel was in reversion states post Fiber cut restored between Dohna to Shahjahanpur.</t>
  </si>
  <si>
    <t>07-04-2026  
15:15:48</t>
  </si>
  <si>
    <t>07-04-2026  
15:15:51</t>
  </si>
  <si>
    <t>The services were impacted due to a fiber span fluctuation between Tower No 177 to Sarojini Nagar on the Noida to Sanauli NLD segment during the mentioned timestamp.</t>
  </si>
  <si>
    <t>09-04-2026  
11:39:15</t>
  </si>
  <si>
    <t>09-04-2026  
11:45:16</t>
  </si>
  <si>
    <t>Worker Path-Servicers affected due to fibre cut between VALSAD to KAPLETHA in NLD-LINK-02
Protection Path- Service Was affected due to fiber cut between MUMB_GPX-2 to MUMB_IBM</t>
  </si>
  <si>
    <t>10-04-2026  
14:29:37</t>
  </si>
  <si>
    <t>10-04-2026  
14:31:40</t>
  </si>
  <si>
    <t>Equitas(2*1G),IIFL(1*300Mpbs),IndusInd(2*1G),Infynix(1*1G,1*6.2G),Kotak Securities (1*500Mbps), Novac (1*1G,1*4G,1*2G) ,Primenet(2*1G),Sharekhan(1*2G),Shriram Finance (1*1G),Tata Communications (2*300Mbps) ,Telstra(1*2G),Tikona(1*1G),Times Internet(1*500Mbps, Flipkart (2*5G)</t>
  </si>
  <si>
    <t>INT_PRN_01_CHN-STT_AMB_1_CHN-VSNL_SIVA_1_U_000365_1
INT_PRN_01_CHN-STT_AMB_1_CHN-VSNL_SIVA_1_U_000365_2
PRN-01-HYD-SIFYx-FDxxx-CHN-STTxx-VSNLx-U-200056
PRN-01-HYD-SIFYx-FDxxx-CHN-STTxx-VSNLx-U-200057</t>
  </si>
  <si>
    <t>10-04-2026  
16:54:24</t>
  </si>
  <si>
    <t>10-04-2026 
 16:54:31</t>
  </si>
  <si>
    <t>Services were affected between Fatehpur and Tower285 due to span degradation in the Noida Raxaul NLD segment.</t>
  </si>
  <si>
    <t>10-04-2026  
17:50:35</t>
  </si>
  <si>
    <t>10-04-2026  
17:50:38</t>
  </si>
  <si>
    <t>Service was affected due to fiber span fluctuation between Gajraula to Moradabad in Noida-Sonauli NLD section.</t>
  </si>
  <si>
    <t>11-04-2026  
16:12:30</t>
  </si>
  <si>
    <t>11-04-2026  
16:12:36</t>
  </si>
  <si>
    <t>YES Securities(1*4G)</t>
  </si>
  <si>
    <t>Planned activity under CHN-34115 was already on going.
&gt; Our field team was working and inadvertently disturbed the associated link patch cord.
&gt; Service was interrupted from 16:12:30 IST to 16:12:36 IST on 11-04-2026, lasting 6 seconds.</t>
  </si>
  <si>
    <t>CHN-34115</t>
  </si>
  <si>
    <t>11-04-2026  
19:15:08</t>
  </si>
  <si>
    <t>11-04-2026  
19:22:02</t>
  </si>
  <si>
    <t>The working path is down due to a TRM card fault at Yotta since 16:10 IST in the Mumbai Metro section. Additionally, the protection path is also down as the SNC was in a reversion state following the restoration of the fiber cut between IBM_3 and GPX2_3 in the Mumbai Metro section.</t>
  </si>
  <si>
    <t>PRN-01-MUM-GPX02-CHNDV-MUM-YOTTA-PANVL-U-000548_1
PRN-01-MUM-GPX02-CHNDV-MUM-YOTTA-PANVL-U-000548_2</t>
  </si>
  <si>
    <t>13-04-2026  
04:28:59</t>
  </si>
  <si>
    <t>13-04-2026  
04:29:02</t>
  </si>
  <si>
    <t xml:space="preserve">GCX Offnet service- The service interruption during the reported time was caused by an issue in the backbone link between Dubai and Marseille on the supplier network. As a result, traffic was rerouted through an alternate path.
The backbone disruption was due to a major alarm on the FPC card of the Kuwait router. </t>
  </si>
  <si>
    <t>15-04-2026  
16:39:56</t>
  </si>
  <si>
    <t>15-04-2026  
18:18:47</t>
  </si>
  <si>
    <t>TTSL CKT:209454209 - 0080010056130</t>
  </si>
  <si>
    <t>18-04-2026  
11:27:51</t>
  </si>
  <si>
    <t>18-04-2026  
11:33:33</t>
  </si>
  <si>
    <t>service was affected due to span degradation  between Zamania to Ramgarh in Noida-Raxaul NLD segment.</t>
  </si>
  <si>
    <t>18-04-2026  
16:49:00</t>
  </si>
  <si>
    <t>18-04-2026  
16:56:00</t>
  </si>
  <si>
    <t>FGL Earth Telecom 5-Chennai-Ultadanga(100G)- VLAN 401
Chennai-Bongaon Google-3(50G)- VLAN-1486
Coronet-7(Ultadanga-Bongaon)(50G)- VLAN-230-239</t>
  </si>
  <si>
    <t>fiber cut b/w Bidansai to Khurda since 12:32 IST (Kolkata to VTPS vijaywada) on worker path.
SV16 to Phadge down since 16:49 IST (Delhi to Mumbai) on protection path</t>
  </si>
  <si>
    <t>VLE-01-CHN-STTxx-VSNLx-KOL-LTVxx-GLBSN-P-001377
VLE-01-CHN-NXTRA-SNTHM-KOL-LTVxx-GLBSN-P-001555</t>
  </si>
  <si>
    <t>20-04-2026  
14:50:56</t>
  </si>
  <si>
    <t>20-04-2026  
14:50:57</t>
  </si>
  <si>
    <t>TTSL CKT: 22010058815</t>
  </si>
  <si>
    <t>Definition</t>
  </si>
  <si>
    <t>Dual Media Issue</t>
  </si>
  <si>
    <t>Restoration Events</t>
  </si>
  <si>
    <t>Single Service Issue</t>
  </si>
  <si>
    <t>Infra Hygiene</t>
  </si>
  <si>
    <t>Offnet</t>
  </si>
  <si>
    <t>Fiber + Patch cord</t>
  </si>
  <si>
    <t>Software Issue</t>
  </si>
  <si>
    <t>TAC Case raised by NOC L2 (C10853421)
Internal RFO- We have observed channel degraded issue in work SNC and the protect SNC observed shutoff threshold crossed alarm in the path during given time stamp.</t>
  </si>
  <si>
    <t>21-04-2026  
11:44:34</t>
  </si>
  <si>
    <t>21-04-2026  
11:52:09</t>
  </si>
  <si>
    <t>Link was down due to fiber cut in working path between Ichapuram to Tekkali and protection channel was in reversion state between Dudhmal to Mohankot.</t>
  </si>
  <si>
    <t>FGL Chennai-Bongaon Google-3(50G)- VLAN-1486
Coronet-7(Ultadanga-Bongaon)(50G)- VLAN-230-239</t>
  </si>
  <si>
    <t>21-04-2026  
13:03:48
13:57:03
15:37:15</t>
  </si>
  <si>
    <t>21-04-2026  
13:14:44
14:06:25
15:49:12</t>
  </si>
  <si>
    <r>
      <t xml:space="preserve">1st Event- Service was affected due to an ongoing protection path cut on Link 17 between Ichapuram and Tekkali (s1163_1), and a fiber cut on the working path on Link 2 between CRTLS and GPX-2 (S14) at 13:03 IST, which caused a service disruption
2nd Event-Service was affected due to an ongoing cut on the protection path in Link 17 between Ichapuram and Tekkali (s1163_1). Additionally, channels were in a </t>
    </r>
    <r>
      <rPr>
        <b/>
        <sz val="10"/>
        <color theme="1"/>
        <rFont val="Calibri"/>
        <family val="2"/>
        <scheme val="minor"/>
      </rPr>
      <t>reversion</t>
    </r>
    <r>
      <rPr>
        <sz val="10"/>
        <color theme="1"/>
        <rFont val="Calibri"/>
        <family val="2"/>
        <scheme val="minor"/>
      </rPr>
      <t xml:space="preserve"> state after the fiber cut was restored on the working path in Link 2 between CRTLS and GPX-2 (S14), which caused a service disruption.
3rd Event-Service was affected due to an ongoing protection path cut on Link 17 between Ichapuram and Tekkali (s1163_1), and a fiber cut on the working path on Link 2 between CRTLS and GPX-2 (S14) at 15:37IST, which caused a service disruption.</t>
    </r>
  </si>
  <si>
    <t>21-04-2026  
14:53:48</t>
  </si>
  <si>
    <t>21-04-2026  
15:14:16</t>
  </si>
  <si>
    <t>NCELL  Noi-Sanauli(100G)</t>
  </si>
  <si>
    <t>21-04-2026  
14:53:49</t>
  </si>
  <si>
    <t>21-04-2026  
15:16:41</t>
  </si>
  <si>
    <t>VLE_EXT_01_UPW-LTVXX-NOIDA_N01_UPE-SNULI-ASCND_N01_U_000464</t>
  </si>
  <si>
    <t>NDS Noi-Sanauli(8*100G)BGP flapped</t>
  </si>
  <si>
    <t>VLE_EXT_01_UPW-LTVXX-NOIDA_N01_UPE-SNULI-ASCND_N01_U_000461
VLE_EXT_01_UPW-LTVXX-NOIDA_N01_UPE-SNULI-ASCND_N01_U_000462
VLE_EXT_01_UPW-LTVXX-NOIDA_N01_UPE-SNULI-ASCND_N01_U_000463
VLE_EXT_01_UPW-LTVXX-NOIDA_N01_UPE-SNULI-ASCND_N01_U_000468
VLE_EXT_01_UPW-LTVXX-NOIDA_N01_UPE-SNULI-ASCND_N01_U_000465
VLE_EXT_01_UPW-LTVXX-NOIDA_N01_UPE-SNULI-ASCND_N01_U_000466
VLE_EXT_01_UPW-LTVXX-NOIDA_N01_UPE-SNULI-ASCND_N01_P_000464
VLE_EXT_01_UPW-LTVXX-NOIDA_N01_UPE-SNULI-ASCND_N01_P_000467</t>
  </si>
  <si>
    <t>FGL Chennai – Kolkata Bongaon (Google)(100G)
VLAN- 1468/1470</t>
  </si>
  <si>
    <t>21-04-2026
13:03:47
13:57:02
15:37:13</t>
  </si>
  <si>
    <t>21-04-2026
13:14:52
14:06:33
15:49:19</t>
  </si>
  <si>
    <t>00:11:05
00:09:31
00:12:06</t>
  </si>
  <si>
    <t>21-04-2026  
19:32:16</t>
  </si>
  <si>
    <t>TTSL offnet service-The service disruption occurred due to a media issue within the supplier network. The issue was identified on the link between LVSBMMR and Rosymery.</t>
  </si>
  <si>
    <t>FGL Earth Telecom 5-Chennai-Ultadanga(100G)- VLAN 401</t>
  </si>
  <si>
    <t>22-04-2026
18:48:00</t>
  </si>
  <si>
    <t>22-04-2026
19:19:00</t>
  </si>
  <si>
    <t>Loop was requested by Field team to perform the test on new service. Soft loop Loop was provided inadvertently on 100G port which were connected to Flex MOTR card. Services were up post the loop was removed on the 100G port.</t>
  </si>
  <si>
    <t>001541, 000695</t>
  </si>
  <si>
    <t>21-04-2026  
19:07:47</t>
  </si>
  <si>
    <t>22-04-2026  
15:07:00
15:18:30
16:56:46</t>
  </si>
  <si>
    <t>22-04-2026  
15:09:33
15:19:15
16:57:52</t>
  </si>
  <si>
    <t>1st Event-Worker path down due to Fiber cut between Khurda to Bidansahi &amp; momentarily span degradation between Domansandra to Berigai.
2nd Event-Worker path down due to Fiber cut between Khurda to Bidansahi &amp; fiber cut between Domansandra to Berigai.
3rd Event-Worker path down due to Fiber cut between Khurda to Bidansahi &amp; Channel reversion post fiber cut restored between Domansandra to Berigai</t>
  </si>
  <si>
    <t>24-04-2026  
14:16:39</t>
  </si>
  <si>
    <t>24-04-2026  
14:16:41</t>
  </si>
  <si>
    <t>24-04-2026  
14:09:51</t>
  </si>
  <si>
    <t>24-04-2026  
14:09:52</t>
  </si>
  <si>
    <t>25-04-2026  
10:33:26
10:43:57
10:52:56
11:03:24
11:18:17
11:28:50</t>
  </si>
  <si>
    <t>25-04-2026  
10:33:27
10:43:58
10:52:57
11:03:25
11:18:22
11:28:51</t>
  </si>
  <si>
    <t>25-04-2026  
14:51:54</t>
  </si>
  <si>
    <t>25-04-2026  
14:53:56</t>
  </si>
  <si>
    <t xml:space="preserve">PRN-01-MUM-GPX02-CHNDV-MUM-MB4xx-AIRLI-P-000996 </t>
  </si>
  <si>
    <t>NTT (1*10G MUM-CHN), 
Phone Pe(1*10G MUM-CHN)</t>
  </si>
  <si>
    <t>24-04-2026
13:33:57</t>
  </si>
  <si>
    <t>24-04-2026
13:42:40</t>
  </si>
  <si>
    <t>Observed Link down due Jalna node isolated. As per update from field OPS, Supplier(Sterlite) team was working on DCDB box and the Output MCBs for rack were inadvertently tripped.</t>
  </si>
  <si>
    <t>25-04-2026
10:27:44</t>
  </si>
  <si>
    <t>MUM-DEL: Cloudflare(1*100G), Oracle(1*100G), Riot Games(1*10G)
MUM-KOL: Vodafone(2*100G)</t>
  </si>
  <si>
    <t>Millennium Consulting(5*1G,1*200Mb)</t>
  </si>
  <si>
    <t xml:space="preserve">Fiber degrade between GPX2 to WebWorks Rabale in worker path and Fiber span fluctuation between CRTL-S to GPX2 in protection path. </t>
  </si>
  <si>
    <t>25-04-2026
10:33:28
10:43:54
10:53:00
11:03:24
11:18:18
11:28:50
14:26:29
14:37:00</t>
  </si>
  <si>
    <t>Planned event (CHN-34254) ongoing at Location T-343 in Link-21 since 09:00 hrs and span degradation between Sumai Thangi to Satuvachari (S409_6) for multiple of times.</t>
  </si>
  <si>
    <t>25-04-2026
10:36:49
10:45:51
10:56:00
11:05:21
11:21:39
11:30:45
14:29:00
14:39:20</t>
  </si>
  <si>
    <t>00:03:21
00:01:57
00:03:00
00:01:57
00:03:21
00:01:55
00:02:31
00:02:20</t>
  </si>
  <si>
    <t xml:space="preserve"> Planned event (CHN-34254) ongoing at Location T-343 in Link-21 since 09:00 hrs and span degradation between Sumai Thangi to Satuvachari (S409_6)</t>
  </si>
  <si>
    <t>26-04-2026
15:45:32</t>
  </si>
  <si>
    <t>26-04-2026
15:46:32</t>
  </si>
  <si>
    <t>Fiber cut between IP4 to CTRL-S in MUM-BGLR. Channel rerouted via alternate path</t>
  </si>
  <si>
    <t>25-04-2026
10:33:28</t>
  </si>
  <si>
    <t>25-04-2026
10:36:49</t>
  </si>
  <si>
    <t>Fiber cut between Ichapuram and Tekkali (S1163_1) in link-17. Fiber cut on the protection path on Link 2 between CRTLS and GPX-2 (S14) at 13:03 IST. 2nd event is due to reversion event on protection path post fiber cut restored between CTRL-S to GPX-2. 3rd Event due to again fiber cut observed on Link 2 between CRTLS and GPX-2 (S14) at 13:03 IST.</t>
  </si>
  <si>
    <t>Span fluctuation was was observed between Eklara to Valsad in link-2 at 08:26 IST. Before restoration of channels, we observed Remote Node Unreachable” alarm on all four adjacent directions of the GPX-2 node at 08:31 IST. At 10:27 IST, fiber cut between in NLD triangle was observed between GPX-2 to IBM &amp; channels failed to restore due to OSRP reachability issue. Issue resolved by Ciena TAC. Ciena case raised C10865717. RCA awaited from Ciena</t>
  </si>
  <si>
    <t>Span fluctuation in Link-19 between Sumai Thangi to Satuvachari (S409_6) and fiber cut in Link-7 between KLR to Sify Tidel park (S171_4) at 10:33 IST.</t>
  </si>
  <si>
    <t>Outage in NLD-LINK-11 between FCI 132KV to Maharajganj 132KV_N72_5. UP Transco activity was ongoing which was indeventently disturbed by the team</t>
  </si>
  <si>
    <t>During the (CHN-34309) end to end patching and provisioning for addition of POI-27 100 G , the existing link was inadvertently impacted at both the physical and logical levels due to an unintended action.</t>
  </si>
  <si>
    <t>Mentioned links have been affected due to span fluctuation observed between Robertsganj and Shahpur in the Noida–Raxaul NLD section.</t>
  </si>
  <si>
    <t>25-04-2026
11:59:04</t>
  </si>
  <si>
    <t>24-04-2026
03:56:00</t>
  </si>
  <si>
    <t>24-04-2026
04:46:00</t>
  </si>
  <si>
    <t>Loss of signal was observed on protection port between transponder to OPS. At 03:56 IST, span degradation was observed on worker channel. However the channel was unable to recover on the worker path due to loss of clock. Detailed RCA awaited from Ciena.</t>
  </si>
  <si>
    <t xml:space="preserve">001291, </t>
  </si>
  <si>
    <t>000998, 001321, 000125, 001263, 001264</t>
  </si>
  <si>
    <t>The service was impacted because supplier backbone link between London and Marseille experienced an issue during the reported time. Further we have checked and observed an optical channel bounced between London and Paris during the reported timestamp. The issue subsequently cleared without any manual intervention. As the condition self-restored, the exact root cause could not be identified, and it is not possible to retrieve conclusive details regarding the specific reason for the interruption.</t>
  </si>
  <si>
    <t>Issue was in LTC media NLD link MUM-CHN</t>
  </si>
  <si>
    <t>26-04-2026  
14:25:24
14:34:26
15:01:30
15:10:42
15:20:45</t>
  </si>
  <si>
    <t>26-04-2026  
14:25:25
14:34:27
15:01:31
15:10:44 
15:20:46</t>
  </si>
  <si>
    <t>TTSL offnet service-RFO awaited</t>
  </si>
  <si>
    <t>27-04-2026  
00:41:10</t>
  </si>
  <si>
    <t>27-04-2026  
03:51:00</t>
  </si>
  <si>
    <t>Fiber cut was between Sanauli towards Nepal in LTC media
Dark fiber was down in LTC segment, fiber cut from 150mter from Sanauli</t>
  </si>
  <si>
    <t>TTSL offnet service- Path 1: Richmond_Circle to LalbhagRoad, Bangalore
              Start Date: 15-04-2026 16:40:07 End Date:  15-04-2026 18:20:51
Path 2: VV_PURAM to Chamrajpet, Bangalore
              Start Date: 15-04-2026 15:39:06  End Date : 15-04-2026 23:09:16</t>
  </si>
  <si>
    <t>27-04-2026
17:03:00</t>
  </si>
  <si>
    <t>27-04-2026
17:11:00</t>
  </si>
  <si>
    <t xml:space="preserve">Channels were in reversion phase post fiber cut was restored in Link-1 between Jaisingpura to Singwasa. Fiber cut was observed in Link-2 between GK-1 to GGN Spectra at 17:03 hrs IST. </t>
  </si>
  <si>
    <t>000138, 000139, 000140, 000141, 000160, 001422, 001423, 001424, 001425, 001511, 001512, 001514, 001515, 001517, 001518, 001519, 001520, 001521, 000290, 000291, 000998, 001321, 000125, 000969, 000970, 001234, 001368, 001322, 001177, 001263, 001264, 001266, 001267, 001268, 001269, 001381, 001382, 001383, 001384, 001385, 001386, 001387, 001388</t>
  </si>
  <si>
    <t xml:space="preserve">001169, 001170, </t>
  </si>
  <si>
    <t>001542, 001552</t>
  </si>
  <si>
    <t>000137, 000138, 000139, 000140, 000141, 000160, 001421, 001422, 001423, 001424, 001425, 001426, 001427, 001428, 001511, 001512, 001513, 000290, 000291, 000998, 000125, 001321, 001177, 001178, 001263, 001264, 001322</t>
  </si>
  <si>
    <t>28-04-2026 
16:47:05</t>
  </si>
  <si>
    <t>28-04-2026 
16:47:15</t>
  </si>
  <si>
    <t>29-04-2026
17:25:00</t>
  </si>
  <si>
    <t>29-04-2026
19:58</t>
  </si>
  <si>
    <t>29-04-2026
19:00:00</t>
  </si>
  <si>
    <t>29-04-2026
23:22:00</t>
  </si>
  <si>
    <t>MUM-KOL: Vodafone(8*100G),
DEL-KOL: Meta(8*100G),
KOL-LKO: Meta (8*100G)</t>
  </si>
  <si>
    <t>001340,</t>
  </si>
  <si>
    <t>001461, 001462, 001463, 001464, 001465, 001466, 001467, 001468, 001177, 001178, 001263, 001264, 001266, 001267, 001268, 001269, 000981, 000982, 000983, 000984, 001157, 001158, 001159, 001160</t>
  </si>
  <si>
    <t>VLE_EXT_01_UPW-LTVXX-NOIDA_N01_BHR-RAXUL-BSTCL_N01_U_000471
VLE_EXT_01_UPW-LTVXX-NOIDA_N01_BHR-RAXUL-BSTCL_N01_U_000472
VLE_EXT_01_UPW-LTVXX-NOIDA_N01_BHR-RAXUL-BSTCL_N01_U_000477
VLE_EXT_01_UPW-LTVXX-NOIDA_N01_BHR-RAXUL-BSTCL_N01_U_000473
VLE_EXT_01_UPW-LTVXX-NOIDA_N01_BHR-RAXUL-BSTCL_N01_U_000478
VLE_EXT_01_UPW-LTVXX-NOIDA_N01_BHR-RAXUL-BSTCL_N01_U_000475
VLE_EXT_01_UPW-LTVXX-NOIDA_N01_BHR-RAXUL-BSTCL_N01_U_000476
VLE_EXT_01_UPW-LTVXX-NOIDA_N01_BHR-RAXUL-BSTCL_N01_U_000480
VLE_EXT_01_UPW- LTVXX-NOIDA_N01_BHR-RAXUL-BSTCL_N01_U_000474
VLE-01-DEL-SIFYx-NOIDA-KOL-LTVxx-GLBSN-P-001117
VLE-01-DEL-SIFYx-NOIDA-KOL-LTVxx-GLBSN-P-001296</t>
  </si>
  <si>
    <t xml:space="preserve">Fiber cut worker path between Rewa road to Mirzapur in Link12 since 14:14 IST
Fiber cut in protection path between Muzaffarpur -Samastipur in Link-16 at 19:00 IST. </t>
  </si>
  <si>
    <t>29-04-2026  
14:14:39</t>
  </si>
  <si>
    <t>29-04-2026  
14:15:32</t>
  </si>
  <si>
    <t xml:space="preserve">Fiber cut in NLD-LINK-12 between Rewa ROAD 220KV to 220 KV Mirzapur subnet N42_3 </t>
  </si>
  <si>
    <t>29-04-2026  
14:18:58</t>
  </si>
  <si>
    <t>FGL Ultadanga-Bongaon(50G)Vlan-1486</t>
  </si>
  <si>
    <t>29-04-2026  
14:14:39
16:35:51</t>
  </si>
  <si>
    <t>29-04-2026  
14:15:27
16:41:41</t>
  </si>
  <si>
    <t>Worker path: Fiber cut in Link-17 between Kalpaka to Towere-217
Protect Path: Fiber cut between Rewa ROAD to Mirzapur link-12.</t>
  </si>
  <si>
    <t>1st Event-Worker path: Fiber cut in Link-17 between Kalpaka to Towere-217
Protect Path: Fiber cut between Rewa ROAD to Mirzapur link-12.
2nd Event- Fiber cut in  Link-17 between Kalpaka to Towere-217.
Link-2 span degradation between Koshamba to MASAMA</t>
  </si>
  <si>
    <t>16-04-2026  
16:53:44</t>
  </si>
  <si>
    <t>16-04-2026  
17:03:16</t>
  </si>
  <si>
    <t xml:space="preserve">Fiber cut on worker path in NLD-LINK-17 b/w Bidansai to Khurda subnet is S413_3 since 14:03:56 and Fiber cut in NLD-LINK-2 in b/w DAHANU to EKLARA_ S78 since 16:53:43 </t>
  </si>
  <si>
    <t>01-05-2026  
08:22:54</t>
  </si>
  <si>
    <t>01-05-2026  
08:24:53</t>
  </si>
  <si>
    <t>PRN_01_BLR-CTRLS-1_BLR-STT-WF-1_P_000364_1
PRN_01_BLR-CTRLS-1_BLR-STT-WF-1_P_000364_2</t>
  </si>
  <si>
    <t>Fiber cut was ongoing on protection path between BGLR WF DC3 to Rajaji NGR (S91) since 06:06 IST and fiber cut between BGLR CTRLs to Gunjar (S106_2) in working path at 08:22 IST of 01st May 2026, which cause service disruption.</t>
  </si>
  <si>
    <t>May-26</t>
  </si>
  <si>
    <t>01-05-2026  
14:38:12</t>
  </si>
  <si>
    <t>01-05-2026  
14:38:20</t>
  </si>
  <si>
    <t>Link flapped due to fiber cut in LTC media, fiber cut observed between Dohna  to Sahjahanpur in LTC NLD segment.</t>
  </si>
  <si>
    <t>Link flapped due to restoration event post fiber cut in LTC media, fiber cut was restored between Dohna  to Sahjahanpur in LTC NLD segment.</t>
  </si>
  <si>
    <t>02-05-2026  
00:54:17</t>
  </si>
  <si>
    <t>02-05-2026  
00:54:18</t>
  </si>
  <si>
    <t>NDS Noi-Raxual(8*100G)BGP flapped
NCELL Raxual(1*100G)
FGL(3*100G)
VLAN-1487;1482;1471;1462;1453;1414</t>
  </si>
  <si>
    <t>ICICI Bank(2*1G,3*10G),ICICI Securities (2*1G,1*3G), INFYNIX(1*300Mbps), Leapswitch Networks (1*5G), Primenet(1*2G),Remiges(1*100Mbps),Tata Communications(1*2G,1*2G,1*5G),Tikona(1*4G),Times Internet(2*1G),Yotta(3*1G,1*5G),ZOHO(1*1G,5*3G,1*100G)</t>
  </si>
  <si>
    <t>03-05-2026
10:57:00</t>
  </si>
  <si>
    <t>30-04-2026
11:31:00</t>
  </si>
  <si>
    <t>Amazon (8*100G) 
BOM146 to BOM60</t>
  </si>
  <si>
    <t>30-04-2026
12:04:31</t>
  </si>
  <si>
    <t>30-04-2026
12:05:41</t>
  </si>
  <si>
    <t>30-04-2026
16:06:51</t>
  </si>
  <si>
    <t>30-04-2026
18:02:41</t>
  </si>
  <si>
    <t>30-04-2026
17:27:13</t>
  </si>
  <si>
    <t>30-04-2026
15:39:50</t>
  </si>
  <si>
    <t>Phone Pe(2*100G MUM-BLR, 1*10G BLR-PUN)</t>
  </si>
  <si>
    <t>MUM-CHN: Telstra(1*10G), 
MUM-BLR: NTT(1*10G), Phone Pe(2*100G)
BLR-PUN: Phone Pe(2*10G)</t>
  </si>
  <si>
    <t>01-05-2026
00:09:35</t>
  </si>
  <si>
    <t>01-05-2026
06:35:26</t>
  </si>
  <si>
    <t>01-05-2026
19:58:00</t>
  </si>
  <si>
    <t>02-05-2026
07:15:00</t>
  </si>
  <si>
    <t>02-05-2026
10:40:00</t>
  </si>
  <si>
    <t>02-05-2026
12:58:00</t>
  </si>
  <si>
    <t>02-05-2026
13:54:00</t>
  </si>
  <si>
    <t>02-05-2026
13:57:00</t>
  </si>
  <si>
    <t>02-05-2026
13:00:00</t>
  </si>
  <si>
    <t>02-05-2026
10:43:00</t>
  </si>
  <si>
    <t>02-05-2026
07:21:00</t>
  </si>
  <si>
    <t>01-05-2026
19:58:52</t>
  </si>
  <si>
    <t>01-05-2026
07:26:00</t>
  </si>
  <si>
    <t>01-05-2026
00:12:22</t>
  </si>
  <si>
    <t>Phone Pe(1*100G MUM-BLR)</t>
  </si>
  <si>
    <t>MUM-BLR: Phone Pe(2*100G)
BLR-PUN: Phone Pe(2*10G)</t>
  </si>
  <si>
    <t>MUM-HYD: Microsoft (4*400G)
MUM-BLR: Phone Pe(2*100G)
BLR-PUN: Phone Pe(1*10G)</t>
  </si>
  <si>
    <t>MUM-HYD: Microsoft (4*400G)</t>
  </si>
  <si>
    <t xml:space="preserve">001271, </t>
  </si>
  <si>
    <t>Fiber cut in Link-3 between Panhala to Talawadi at 17:27 IST. Service restored by adding temporary protection path.</t>
  </si>
  <si>
    <t>Path 2 &amp; 3 were already down (S1135 &amp; S1136). Service was running through Path 1, at 15:39 ops threshold value was degraded, which causes service outage. Service came up post threshold value was adjusted from -3dbm to -8dbm</t>
  </si>
  <si>
    <t>Protection cut at 12:00 IST between MNR_NGR_1 to CTRL-S (S88) and protection channels were in restoration state. At 12:04 IST Fiber cut observed between MNR_NGR_2 To Govindappa (S97)</t>
  </si>
  <si>
    <t xml:space="preserve">All the three paths to Vasanthnagar in Bangalore Metro section were facing fiber cut starting from 17:06 IST. </t>
  </si>
  <si>
    <t xml:space="preserve">Channels were in reversion phase post fiber cut was restored in Link-1 between Jaisingpura to Singhwasa. Fiber cut was observed in Link-2 between GK-1 to GGN Spectra at 17:03 hrs IST. </t>
  </si>
  <si>
    <t xml:space="preserve">Fiber cut worker path between Rewa road to Mirzapur in Link-12 since 14:14 IST
Fiber cut in protection path between Muzaffarpur -Samastipur in Link-16 at 19:00 IST. </t>
  </si>
  <si>
    <t>Observed XCVR failed alarm at BOM146-PP42-S4 at 11:31 IST. Reported To Amazon at 11:44 IST. Access received at 10:15 IST on 3rd May. Alarm cleared at 10:57 IST on 3rd May post card replacement.</t>
  </si>
  <si>
    <t>03-05-2026  
04:31:26</t>
  </si>
  <si>
    <t>03-05-2026  
04:32:15</t>
  </si>
  <si>
    <t>Services were flapped due to Fiber cut b/w Rewa Road to Mirzapur in NLD.</t>
  </si>
  <si>
    <t>03-05-2026  
12:02:11</t>
  </si>
  <si>
    <t>03-05-2026  
13:17:39</t>
  </si>
  <si>
    <t>GCX Offnet service- The link was impacted due to amplifier degradation in the subsea section between Mumbai and Zafarana.</t>
  </si>
  <si>
    <t>Fiber cut in Link-3 between Panhala to Talawadi at 17:27 IST. Restored post fiber cut cut repaired.</t>
  </si>
  <si>
    <t>Fiber cut in Link-03 and Channe reversion post fiber cut restored Mumbai IBM to CTRL-S (S402)</t>
  </si>
  <si>
    <t>Fiber cut in NLD-LINK-1 between Dudhmal to Mohankot (S7_4) since 11:50:51 on 03/05/2026. Fiber cut in NLD-LINK-2 from Garhi_Harsaru to Spectranet_ILA (S239_1) since 12:02:11 on 03/05/2026</t>
  </si>
  <si>
    <t>MUM-DEL: Meta (8*100G)</t>
  </si>
  <si>
    <t>Fiber cut in NLD-LINK-1 between Dudhmal to Mohankot (S7_4) since 11:50:51 on 03/05/2026. Fiber cut in NLD-LINK-2 from Garhi_Harsaru to Spectranet_ILA (S239_1) since 12:02:11 on 03/05/2026. Channel remained down due to racing condition. Manual intervention was required to restore the service.</t>
  </si>
  <si>
    <t>02-05-2026 
 12:31:39</t>
  </si>
  <si>
    <t>Protection path was down since 21:42 IST due to a fiber cut between T-73 and T-48_S444_6 on Link-21. Due to the fiber cut between Bangalore CRTLS and Attibele_3 (S409_1) on Link-19, traffic was rerouted through Link-7 at 23:33 hrs.  At 00:11 IST, a fiber span fluctuation occurred between Basavanagudi and Attibele_2 (S1676_1) which has caused service disruption.</t>
  </si>
  <si>
    <t>03-05-2026 
 23:30:29</t>
  </si>
  <si>
    <t>03-05-2026 
 23:33:44</t>
  </si>
  <si>
    <t>04-05-2026 
 00:11:00</t>
  </si>
  <si>
    <t>04-05-2026 
 00:13:00</t>
  </si>
  <si>
    <t xml:space="preserve"> 31:03:47</t>
  </si>
  <si>
    <t xml:space="preserve"> 47:57:47</t>
  </si>
  <si>
    <t>30-04-2026
  17:27:13</t>
  </si>
  <si>
    <t>02-05-2026 
 00:31:00</t>
  </si>
  <si>
    <t>30-04-2026 
 17:27:13</t>
  </si>
  <si>
    <t>02-05-2026 
 17:25:00</t>
  </si>
  <si>
    <t>Fiber cut in Link-03 which was ongoing and fiber cut between Mumbai IBM to CTRL-S (S402)</t>
  </si>
  <si>
    <t>Ongoing Fiber cut in Link3 and In protection path, reversion of channel post fiber cut between Hyderabad sify to CTRL Madhapur was resolved.</t>
  </si>
  <si>
    <t>Fiber cut in Link-3 between Panhala to Talawadi at 17:27 IST and fiber cut between Hyderabad CTRLS to Transco MDP in the protection path. Services mesh restored.</t>
  </si>
  <si>
    <t>Fiber cut in Link-3 between Panhala to Talawadi at 17:27 IST. Observed OSRP block on protection channel. Restart was given to Controller card at Kuppam and service was restored. Case raised with Ciena for detailed investigation.</t>
  </si>
  <si>
    <t>Fiber cut in Link-3 between Panhala to Talawadi at 17:27 IST.  At 19:58 IST fiber span fluctuation observed Berigai to Kuppam .</t>
  </si>
  <si>
    <t>Fiber cut in Link-3 between Panhala to Talawadi at 17:27 IST and In protection path fiber cut between Hyderabad Sify to CTRL Madhapur.</t>
  </si>
  <si>
    <t>Link-5 SNC were not mesh restored since 17:16 due to fiber cut between Berigai-Kuppam (Triangle section). Fiber cut in Link-3 between Panhala to Talawadi at 17:27 caused outage. Services restored post restart to CTM card at Kuppam.</t>
  </si>
  <si>
    <t xml:space="preserve">Fiber cut in NLD-LINK-21 in between T-73 to T-48 (S444_6) since 21:42 on 03/05/2026 which is ongoing. </t>
  </si>
  <si>
    <t>MUM-DEL: Amazon(20*100G), Cloudlfare(1*100G), Oracle(1*100G), Riot Games(1*10G), META (3*100G), Telstra (1*100G)
DEL-HYD: Oracle(1*100G)
MUM-KOL: Vodafone(7*100G)
DEL-GUJ: Meta(8*100G)</t>
  </si>
  <si>
    <t>Work path was down at 01:38 due to fiber cut in NLD link 19 (S409_1). Protection SNC path was down at 01:38 due to (S165_4) Attibele to Basvanagudi fiber cut Link 5 &amp; (S166_2) Kuppam to Berigai due to High degraded flapping (Complete triangle was down). Node was unmanaged post fiber cuts once reachability came margin was increased to clear HFL. Post changes, SNCs were up, But channels stuck in Loss of clock state, which were recovered post Basvanagudi D02 CTM was restarted as in channel diag found "Waiting for power" State. Service restored at 02:38 hrs IST.</t>
  </si>
  <si>
    <t>MUM-CHN: Apple(1*100G), Cloudflare(1*100G),Google(15*100G), Verizon (1*10G), Telstra (3*100G), Oracle (1*100G), NTT(1*10G), SIFY (1*100G, 2*10G), Phone Pe(1*10G)</t>
  </si>
  <si>
    <t>000435, 000999, 000403, 000551, 000552, 000553, 000554, 000555, 000556, 000557, 000558, 000559, 000560, 000561, 000562, 000563, 000564, 007262, 001380, 001430, 001499, 001338, 001086, 001087, 001241, 001339,  001551,</t>
  </si>
  <si>
    <t>04-05-2026 
18:37:00</t>
  </si>
  <si>
    <t xml:space="preserve">000736, </t>
  </si>
  <si>
    <t>Jump Traders (1*100G MUM METRO)</t>
  </si>
  <si>
    <t>04-05-2026 
 16:23:46</t>
  </si>
  <si>
    <t>04-05-2026 
16:30:11</t>
  </si>
  <si>
    <t>Transponder card failure at GPX-2 node in worker path which was ongoing and fiber fluctuation in protection path between GPX-2 and STT BKC.</t>
  </si>
  <si>
    <t>009121 to 009216</t>
  </si>
  <si>
    <t>Protection path was down since 21:42 IST due to a fiber cut between T-73 and T-48 (S444_6) on Link-21. At 23:30 IST, another fiber cut occurred between Bangalore CRTLS and Attibele_3 (S409_1) on Link-19.</t>
  </si>
  <si>
    <t>01-05-2026
00:15:00</t>
  </si>
  <si>
    <t xml:space="preserve">MUM-CHN: Amazon(3*100G), Microsoft(5*100G), </t>
  </si>
  <si>
    <t>MUM-CHN: Airtel(1*10G), NVIDIA(1*100G), Google(19*100G),</t>
  </si>
  <si>
    <t>03-05-2026 
 12:02:09</t>
  </si>
  <si>
    <t>03-05-2026
  12:14:12</t>
  </si>
  <si>
    <t>03-05-2026 
 13:16:00</t>
  </si>
  <si>
    <t>MUM-DEL: Amazon (8*100G), Oracle (1*100G), Cloudflare (1*100G)
DEL-HYD: Oracle (1*100G)</t>
  </si>
  <si>
    <t>MUM-DEL: Riot Games (1*10G), 
MUM-KHU: Amazon Leo (1*100G), 
MUM-KOL:Vodafone (7*100G),
DEL-GUJ: Meta (8*100G), Amazon Leo(1*100G)</t>
  </si>
  <si>
    <t>04-05-2026  
16:33:48</t>
  </si>
  <si>
    <t>04-05-2026  
16:34:36</t>
  </si>
  <si>
    <t>04-05-2026  
16:33:45</t>
  </si>
  <si>
    <t>04-05-2026  
16:34:26</t>
  </si>
  <si>
    <t>NCELL Raxual(1*100G)</t>
  </si>
  <si>
    <t>NDS Noi-Raxual(2*100G)BGP flapped</t>
  </si>
  <si>
    <t>Service was affected due to fiber cut in LTC media, observed fiber cut between Narendrapur to Ichapuram in LTC NLD media.</t>
  </si>
  <si>
    <t>VLE_EXT_01_UPW-LTVXX-NOIDA_N01_BHR-RAXUL-BSTCL_N01_U_000474</t>
  </si>
  <si>
    <t>05-05-2026  
17:08:12</t>
  </si>
  <si>
    <t>05-05-2026  
17:09:18</t>
  </si>
  <si>
    <t>FGL
Chennai-Bongaon Coronet(50G) VLAN 230-239
Chennai-Ultadanga Earth Telecom(100G)VLAN 401</t>
  </si>
  <si>
    <t>Airtel (1*100G Linear Services) MUM-BLR</t>
  </si>
  <si>
    <t>Airtel (2*100G Linear Services) MUM-BLR</t>
  </si>
  <si>
    <t>Microsoft PUN MOFN (153.6 T)
PNQ318 (25.6T),  PNQ320 (25.6T)
PNQ322  (25.6T),  PNQ324  (25.6T)
PNQ326 (12.8T),  PNQ328 (12.8T)
PNQ330 (12.8T),  PNQ332  (12.8T)</t>
  </si>
  <si>
    <t>Microsoft (1*400G PUN MOFN) PNQ329</t>
  </si>
  <si>
    <t>Google (2.4T GPX-Bridge DC MUM MOFN)</t>
  </si>
  <si>
    <t>META (96*100G)
(MUM-HYD NLD MOFN Link-3)</t>
  </si>
  <si>
    <t>Microsoft PUN MOFN
PNQ317 (25.6T)</t>
  </si>
  <si>
    <t>Microsoft PUN MOFN
PNQ319 (25.6T)</t>
  </si>
  <si>
    <t>Microsoft PUN MOFN
PNQ322 (25.6T)</t>
  </si>
  <si>
    <t>Microsoft PUN MOFN
PNQ324 (25.6T)</t>
  </si>
  <si>
    <t>Microsoft PUN MOFN
PNQ326 (12.8T)</t>
  </si>
  <si>
    <t>Microsoft PUN MOFN
PNQ320 (25.6T)</t>
  </si>
  <si>
    <t>Microsoft PUN MOFN
PNQ322  (25.6T)</t>
  </si>
  <si>
    <t>Microsoft PUN MOFN
PNQ324  (25.6T)</t>
  </si>
  <si>
    <t>Microsoft PUN MOFN
PNQ332  (12.8T)</t>
  </si>
  <si>
    <t>Microsoft PUN MOFN
PNQ318 (25.6T)</t>
  </si>
  <si>
    <t>Microsoft PUN MOFN
PNQ330 (12.8T)</t>
  </si>
  <si>
    <t>Airtel(2*100G) Linear Services MUM-BLR</t>
  </si>
  <si>
    <t>Airtel(2*100G Linear Services) MUM-BLR</t>
  </si>
  <si>
    <t>Phonepe(4*100G MUM-BLR), 
Sify(1*100G MUM-BLR)</t>
  </si>
  <si>
    <t>PhonePe(1*100G MUM-BLR)</t>
  </si>
  <si>
    <t>Phonepe(2*100G MUM-BLR)</t>
  </si>
  <si>
    <t>Phonepe(4*100G MUM-BLR)</t>
  </si>
  <si>
    <t>PhonePe (1*100G MUM-BLR)</t>
  </si>
  <si>
    <t>Phonepe(2*100G BLR-CHN)</t>
  </si>
  <si>
    <t>Sify(1*100G BLR-CHN)</t>
  </si>
  <si>
    <t>Amazon(2*100G BLR-HYD)</t>
  </si>
  <si>
    <t xml:space="preserve">META(BLR-CHN 8*100G), </t>
  </si>
  <si>
    <t xml:space="preserve">META(BLR-CHN 8*100G), Amazon(2*100G BLR-HYD), </t>
  </si>
  <si>
    <t>Amazon(2*100G BLR-HYD), Sify (BLR-CHN 1*100G)</t>
  </si>
  <si>
    <t>META (8*100G)
BLR-CHN</t>
  </si>
  <si>
    <t xml:space="preserve">Phonepe (4*100G MUM-BLR), 2*10G (BLR-PUN), </t>
  </si>
  <si>
    <t>MUM-CHN: Apple (1*100G), Cloudflare (1*100G), Google (15*100G), Microsoft (1*100G), Sify (1*100G &amp; 1*10G), Telstra (2*100G), Verizon (1*10G), NTT(1*10G), Phonepe(1*10G)
BLR-CHN: PhonePe (2*10G)</t>
  </si>
  <si>
    <t>06-05-2026  
15:11:10</t>
  </si>
  <si>
    <t>06-05-2026  
15:11:56</t>
  </si>
  <si>
    <t>Link flapped due to fiber cut in LTC media, fiber cut observed between Jahanabad  to Sipara in LTC NLD segment</t>
  </si>
  <si>
    <t>06-05-2026  
15:11:07</t>
  </si>
  <si>
    <t>06-05-2026  
15:13:45</t>
  </si>
  <si>
    <t>06-05-2026  
16:39:11</t>
  </si>
  <si>
    <t>06-05-2026  
16:39:39</t>
  </si>
  <si>
    <t>VLE_EXT_01_UPW-LTVXX-NOIDA_N01_UPE-SNULI-ASCND_N01_P_000464
VLE_EXT_01_UPW-LTVXX-NOIDA_N01_UPE-SNULI-ASCND_N01_U_000465
VLE_EXT_01_UPW-LTVXX-NOIDA_N01_UPE-SNULI-ASCND_N01_U_000466</t>
  </si>
  <si>
    <t>05-05-2026 
 11:27:57</t>
  </si>
  <si>
    <t>04-05-2026 
 15:50:00</t>
  </si>
  <si>
    <t>05-05-2026 
15:26:00</t>
  </si>
  <si>
    <t>05-05-2026 
17:36:00</t>
  </si>
  <si>
    <t>05-05-2026
  17:00:49</t>
  </si>
  <si>
    <t>Gubbi node was isolated in Link-3 (Mumbai Bangalore NLD) due to infra issue. Service restored post infra issue was resolved by field team</t>
  </si>
  <si>
    <t>Fiber span fluctuation between Simbhaoli to Gajraula (Link-12)</t>
  </si>
  <si>
    <t xml:space="preserve">Fiber cut in NLD-LINK-17 from Narendrapur to Ichapuram_S411 in worker path and fiber cut in Link-1 between Jambudi to Vagodia in protection path. </t>
  </si>
  <si>
    <t>07-05-2026  
05:42:07</t>
  </si>
  <si>
    <t>07-05-2026  
08:03:00</t>
  </si>
  <si>
    <t>Hardware issue at TNCHNNNMDCACCIXR6D01 (10.200.53.86) Mda 1/5 card removed alarm on Netmagic end at 05:42:07 IST (07-05-2026)
Service came up after traffic shifting TNCHNNNMDCACCIXR6D01 (10.200.53.86) to TNCHNNNMDCACCIXR6D02 (10.200.53.91) at 08:03 IST (07-05-2026).</t>
  </si>
  <si>
    <t xml:space="preserve">Card removed alarm on TNCHNNNMDCACCIXR6D01 (10.200.53.86) Mda 1/5 </t>
  </si>
  <si>
    <t>07-05-2026  
08:11:00</t>
  </si>
  <si>
    <t>IIFL CAPITAL SERVICES(1*300Mbps)</t>
  </si>
  <si>
    <t>DE CIX INTERWIRE INTERNET SERVICES(1*10G)</t>
  </si>
  <si>
    <t>08-04-2026  
16:30:01
17:28:45</t>
  </si>
  <si>
    <t>08-04-2026  
16:40:17
17:35:38</t>
  </si>
  <si>
    <t>FGL
Mumbai-Bongaon Google + Decix+DE-CIX MAXHUB(100G) VLAN-1469,1415,1473
Chennai – Kolkata Bongaon Google(100G) VLAN-1470
Delhi-Bongaon Google(20G) VLAN-1414
Mumbai-Ultadanga Earthtelecom(100G) VLAN-1439</t>
  </si>
  <si>
    <t>The link outage was caused by a fiber cut between Morwa 132 KV and Obra at 16:30:02 on 08/04/2026.
The ongoing outage affects Link 17 and Link 20 since 17:30:21 on 07/04/2026.</t>
  </si>
  <si>
    <t>VLE-03-CHN-STTxx-VSNLx-WBL-BONGN-ASCND-P-000534
 VLE-03-MUM-LVSBx-PRBDV-WBL-BONGN-ASCND-P-000533
VLE-03-MUM-GPX01-CHNDV-KOL-STTxx-ULTDG-P-002931</t>
  </si>
  <si>
    <t>03-05-2026 
21:39:57</t>
  </si>
  <si>
    <t>04-05-2026 
 01:37:45</t>
  </si>
  <si>
    <t>04-05-2026 
 02:38:51</t>
  </si>
  <si>
    <t>MUM-CHN: Apple (1*100G), Cloudflare (1*100G), Google (15*100G), Microsoft (1*100G), Sify (1*100G &amp; 1*10G), Telstra (2*100G), Verizon (1*10G), NTT(1*10G), Phonepe(1*10G)
BLR-CHN: PhonePe (2*10G), Sify(1*100G)</t>
  </si>
  <si>
    <t>fiber cut on the working path between Bangalore CRTLS and Attibele in link-19.
At 23:57 IST, the protection channel reverted back to the home path after the span fluctuation cleared on the protection path between Basavanagudi and Attibele‑2.</t>
  </si>
  <si>
    <t>03-05-2026
23:57:00</t>
  </si>
  <si>
    <t>03-05-2026
23:58:57</t>
  </si>
  <si>
    <t>Fiber cut on the working path between Bangalore CRTLS and Attibele in link-19.
At 00:49 IST, momentary span fluctuation was observed on the protection path between Basavanagudi and Attibele‑2.</t>
  </si>
  <si>
    <t>Protection channel was in a reversion state after the intermittent span fluctuation cleared on the protection path between Basavanagudi and Attibele‑2.
Worker channel reverted back after the fiber cut was restored on the working path between Bangalore CRTLS and Attibele.</t>
  </si>
  <si>
    <t>000148, 000149, 000150, 000921, 000925, 000926, 000927, 000928</t>
  </si>
  <si>
    <t>000960, 001481, 000402, 000565, 000566, 001141, 001142, 001143, 001144, 001145, 001146, 001147, 001148, 001149, 001150, 001151, 001152, 001153, 001154, 001155, 001156</t>
  </si>
  <si>
    <t>0000117, 000396, 001543, 001553</t>
  </si>
  <si>
    <t>001281, 001282, 001283, 001284, 0000117, 000396, 001553</t>
  </si>
  <si>
    <t>001281, 001282, 001283, 001284,</t>
  </si>
  <si>
    <t xml:space="preserve">004424, </t>
  </si>
  <si>
    <t>001542, 001552, 001340</t>
  </si>
  <si>
    <t>04-05-2026
00:49:20</t>
  </si>
  <si>
    <t>04-05-2026
00:50:26</t>
  </si>
  <si>
    <t>04-05-2026
03:39:00</t>
  </si>
  <si>
    <t>04-05-2026
03:49:20</t>
  </si>
  <si>
    <t>000435, 000999, 000403, 000551, 000552, 000553, 000554, 000555, 000556, 000557, 000558, 000559, 000560, 000561, 000562, 000563, 000564, 000922, 001241, 001339, 001430, 001499, 007262, 001086, 001551, 001542, 001552</t>
  </si>
  <si>
    <t>000435, 000999, 000403, 000551, 000552, 000553, 000554, 000555, 000556, 000557, 000558, 000559, 000560, 000561, 000562, 000563, 000564, 000922, 001241, 001339, 001430, 001499, 007262, 001086, 001551, 001542, 001552, 001340</t>
  </si>
  <si>
    <t>000969, 000970, 000966, 000967, 001231, 001232, 001233, 001234</t>
  </si>
  <si>
    <t>000137, 000138, 000139, 000140, 000141, 000160, 000290, 000291, 001321, 000998, 001322</t>
  </si>
  <si>
    <t>000125, 001215, 001177, 001263, 001264, 001266, 001267, 001268, 001269, 001381, 001382, 001383, 001384, 001385, 001386, 001387, 001388, 001495</t>
  </si>
  <si>
    <t>SFP was faulty at NTT Netmagic DC which was replaced by our field engineer.</t>
  </si>
  <si>
    <t>11-05-2026
10:46:13</t>
  </si>
  <si>
    <t>11-05-2026
10:58:37</t>
  </si>
  <si>
    <t>Amazon(1*100G MUM-DEL), Vodafone(2*100G)</t>
  </si>
  <si>
    <t>000160, 001266, 001267</t>
  </si>
  <si>
    <t>Fiber cut in Link-2 between Dhakala to Garhi Harsaru since 10:28 hrs IST.
Fiber cut in Link-1 (Mumbai Triangle) between GPX-2 to IBM (S249) at 10:46 hrs IST.</t>
  </si>
  <si>
    <t>Google (CHN MOFN)
(1*100G)</t>
  </si>
  <si>
    <t>09-05-2026  
22:03:00</t>
  </si>
  <si>
    <t>11-05-2026  
22:45:00</t>
  </si>
  <si>
    <t>The repair of the subsea cable fault near Mumbai was successfully completed on 9 May 2026.
Another fault repair operation for the Libya BU (Crete) is scheduled to start on 11 May 2026, with a tentative ETR of 24 May 2026. These are sequential repair activities. The repair window covers TGNEA cable cut restoration and BU replacement in Libya, both of which are critical tasks. To avoid repeated customer impact, the full maintenance window is required to complete the activities and prevent further network outages.</t>
  </si>
  <si>
    <t>MUM-Marseille TLC 100G</t>
  </si>
  <si>
    <t>Fiber cut in NLD MOFN link-5 in between T-73 to T-48 (S444_6) since 11:27 on 05/05/2026 which is ongoing. This was emergency PE performed without approvals.</t>
  </si>
  <si>
    <t>12-05-2026  
14:42:43</t>
  </si>
  <si>
    <t>12-05-2026  
14:54:12</t>
  </si>
  <si>
    <t>12-05-2026  
19:37:52</t>
  </si>
  <si>
    <t>12-05-2026  
19:42:07</t>
  </si>
  <si>
    <t>PRN-01-MUM-GPX02-CHNDV-GUJ-MNRXX-GCITY-P-000988_1
PRN-01-MUM-GPX02-CHNDV-GUJ-MMRxx-GCITY-P-000988_2
VLE-01-MUM-YOTTA-PANVL-DEL-YOTTA-NOIDA-P-001437</t>
  </si>
  <si>
    <t>Fiber cut was in NLD link-01 b/w SV6 to SV7 since 14:25 IST and span fluctuation b/w Eklara to Valsad in NLD link-02 at 19:37 IST</t>
  </si>
  <si>
    <t>Fiber cut was in NLD link-01 b/w SV6 to SV7 since 14:25 IST
At 14:42:00 Hrs. IST, fiber cut observed between Baspa Village to Bhabhar Nava on the protection path of Delhi - Mumbai NLD segment</t>
  </si>
  <si>
    <t>Fiber cut in Link-1 between SV-06 to SV-07 since 14:25 IST. Span flap in link-2 between Eklara to Valsad at 19:37 IST.</t>
  </si>
  <si>
    <t>Link-1 already down due to Fiber cut in between Kachbaroda and Mohankot since 18:50 hrs IST and Fiber cut in between SV6 and SV7 since 18:52 hrs IST.
At 21:39 IST, Fiber cut observed between  Valsad and Kapaleta. Restores post Valsad to Kapletha was restored.</t>
  </si>
  <si>
    <t>14-05-2026  
12:55:32</t>
  </si>
  <si>
    <t>14-05-2026  
12:55:34</t>
  </si>
  <si>
    <t>Link was impacted due to fiber span fluctuation between Pusauli to Dehri in LTC NLD media.</t>
  </si>
  <si>
    <t>14-05-2026  
18:50:19
21:39:30</t>
  </si>
  <si>
    <t>14-05-2026  
20:42:59
22:06:21</t>
  </si>
  <si>
    <t>Event 1-
fiber cut was already ongoing on the protection path between Valsad and Kapletha since 12:29:00 Hrs. IST in the Delhi–Mumbai NLD segment.
At 18:50:19 Hrs. IST, a fiber cut was observed between Kanchibaroda and Mahankot on the worker path of the Delhi–Mumbai NLD segment
Event 2-
fiber cut was already ongoing on the worker path between Kanchibaroda and Mahankot since 18:50:19 Hrs. IST
At 21:39:29 Hrs. IST, a fiber cut was observed between Valsad and Kapletha on the protection path of the Delhi–Mumbai NLD segment</t>
  </si>
  <si>
    <t>PRN-01-MUM-GPX02-CHNDV-GUJ-MNRXX-GCITY-P-000988_1
PRN-01-MUM-GPX02-CHNDV-GUJ-MNRXX-GCITY-P-000988_2</t>
  </si>
  <si>
    <t>14-05-2026  
18:50:19
21:39:32</t>
  </si>
  <si>
    <t>14-05-2026  
20:42:59
23:02:34</t>
  </si>
  <si>
    <t>16-05-2026  
15:04:37</t>
  </si>
  <si>
    <t>16-05-2026  
15:05:12</t>
  </si>
  <si>
    <t>NDS Noi-Raxual(2*100G)BGP flapped
NCELL Noi-Raxual(1*100G)</t>
  </si>
  <si>
    <t>Service was affected due to fiber span fluctuation between Pusauli to Dehri &amp; Dehri to Rafiganj in Noida-Raxual NLD section.</t>
  </si>
  <si>
    <t>VLE_EXT_01_UPW-LTVXX-NOIDA_N01_BHR-RAXUL-BSTCL_N01_U_000476
VLE_EXT_01_UPW-LTVXX-NOIDA_N01_BHR-RAXUL-BSTCL_N01_U_000480
VLE_EXT_01_UPW-LTVXX-NOIDA_N01_BHR-RAXUL-BSTCL_N01_U_000474</t>
  </si>
  <si>
    <t>16-05-2026  
16:40:52</t>
  </si>
  <si>
    <t>16-05-2026  
16:45:43</t>
  </si>
  <si>
    <t>Services were down due to Channel reversion post fiber cut restored between Maldah to Dhulia (N57_1) in link13 and fiber cut between SV22 to SV25 (N76_4) in Link 20</t>
  </si>
  <si>
    <t>VLE-01-DEL-SIFYx-NOIDA-KOL-LTVxx-GLBSN-P-001117
VLE-01-DEL-SIFYx-NOIDA-KOL-LTVxx-GLBSN-P-001296
VLE-01-DEL-SIFYx-NOIDA-KOL-LTVxx-GLBSN-P-001318</t>
  </si>
  <si>
    <t>17-05-2026  
17:23:45</t>
  </si>
  <si>
    <t>17-05-2026  
17:30:38</t>
  </si>
  <si>
    <t>Fiber cut was ongoing in link-01 since 15:24 IST between  Ankot to Verma (s8_5). Fiber cut at 17:23 IST in link-02 between Crtls to GPX-2 (s14)</t>
  </si>
  <si>
    <t>Meta 8*100G  (DEL-KOL)
Vodafone 8*100G  (MUM-KOL)</t>
  </si>
  <si>
    <t>Jump Trading (1*1Gig),  SIFY  (2*10Gig),  Exotel(1*1G),  ZOHO(1*100G)</t>
  </si>
  <si>
    <t>Jump Trading (1*1Gig), SIFY  (2*10Gig), Exotel(1*1G)</t>
  </si>
  <si>
    <t>Dhanalaxmi Bank(1*100Mbps), Infosys(1*10G,1*1G)
TCL(1*1G), ICICI Securities(2*1G,1*3G)</t>
  </si>
  <si>
    <t>Telstra 1*100G (MUM-DEL)</t>
  </si>
  <si>
    <t>12-05-2026 
 14:42:00</t>
  </si>
  <si>
    <t>12-05-2026 
 14:57:00</t>
  </si>
  <si>
    <t>12-05-2026 
 19:37:00</t>
  </si>
  <si>
    <t>12-05-2026 
 19:43:00</t>
  </si>
  <si>
    <t>14-05-2026 
 18:50:00</t>
  </si>
  <si>
    <t>14-05-2026 
 20:44:00</t>
  </si>
  <si>
    <t>14-05-2026
  21:39:00</t>
  </si>
  <si>
    <t>14-05-2026 
 22:08:00</t>
  </si>
  <si>
    <t>16-05-2026 
 16:40:00</t>
  </si>
  <si>
    <t>17-05-2026 
 17:23:44</t>
  </si>
  <si>
    <t>17-05-2026 
 17:34:46</t>
  </si>
  <si>
    <t>Fiber cut in Link-20 and protection channel were in reversion phase post Link-13 cut restored.</t>
  </si>
  <si>
    <t>Fiber cut was ongoing in Link-01 since 15:24 IST between Ankot to Verma (S8_5). Fiber cut at 17:23 IST in Link-02 between Crtl-S to GPX-2 (S14) which has caused restoration event.</t>
  </si>
  <si>
    <t>Fiber cut in Link-1 between SV-06 to SV-07 since 14:25 IST. Fiber cut in link-2 between Bapsa Village to Babhar Nhava at 14:42 IST. Servises mesh restored via figure of 8.</t>
  </si>
  <si>
    <t>16-05-2026 
 16:47:00</t>
  </si>
  <si>
    <t xml:space="preserve">MUM-DEL:META(8*100G),
DEL-GUJ: Meta(8*100G),
MUM-KHU: KUIPER(1*100G),
MUM-KOL: Vodafone(8*100G), </t>
  </si>
  <si>
    <t xml:space="preserve">MUM-DEL:META(8*100G),
DEL-GUJ: Meta(8*100G)
MUM-KHU: KUIPER(1*100G),
MUM-KOL: Vodafone(8*100G), </t>
  </si>
  <si>
    <t>MUM-CHN: Oracle(100G), SIFY CORP(100G), GOOGLE(1500G), Apple(100G), TELSTRA(200G)
MUM-BLR: Phonepe(1*100G)</t>
  </si>
  <si>
    <t>MUM-CHN: Oracle(100G), SIFY CORP(100G), GOOGLE(1500G), Apple(100G), TELSTRA(200G)</t>
  </si>
  <si>
    <t>MUM-DEL: Amazon(28*100G), Cloudflare (1*100G), META(8*100G), Oracle(1*100G), Riot Games(1*10G), Sify Corp(1*10G), Telstra(1*100G)
DEL-HYD: Oracle(1*100G)
MUM-KHU: Amazon LEO(1*100G)
MUM-KOL: Vodafone(8*100G)</t>
  </si>
  <si>
    <t>MUM-DEL: Amazon(7*100G), Oracle(1*100G), Cloudflare(1*100G), Riot Games(1*10G)
MUM-KOL: Vodafone(4*100G)
DEL-HYD:Oracle(1*100G)</t>
  </si>
  <si>
    <t>MUM-DEL: Amazon(19*100G), Cloudflare(1*100G), Meta(8*100G), Oracle(1*100G), Riot Games(1*10G), Sify(1*10G), Telstra(1*100G),
MUM-KOL: Vodafone(8*100G)
MUM-KHU: Kuiper(1*100G)
DEL-HYD: Oracle (1*100G)
DEL-GUJ: 8*100G (META)</t>
  </si>
  <si>
    <t>MUM-DEL: Amazon(8*100G), Cloudflare(1*100G), Oracle(1*100G), Riot Games(1*10G), 
DEL-HYD: Oracle(1*100G)</t>
  </si>
  <si>
    <t>MUM-DEL: Amazon(14*100), Cloudflare(1*100),META(8*100G), Oracle(1*100G),Riot Games(1*10G)
DEL-HYD: Oracle(1*100G)
MUM-KOL: Vodafone(8*100G)</t>
  </si>
  <si>
    <t>MUM-DEL: Amazon(28*100G), Apple(1*100G), Cloudflare(1*100G), META(8*100G), Oracle(1*100G), Riot Games(1*10G), Sify(1*10G), Telstra(1*100G)
MUM-KOL: Vodafone (8*100G)
MUM-KHU: Amazon LEO (1*100G)
DEL-HYD: Oracle(1*100G)</t>
  </si>
  <si>
    <t>Link-2 already down since 12:29 IST Valsad and Kapaleta. Fiber cut in Link-1 between Kachbaroda and Mohankot since 18:50 hrs IST and Fiber cut in Link-1 between SV6 and SV7 since 18:52 hrs IST. Restored post fiber cut restored between Valsad Kapletha.</t>
  </si>
  <si>
    <t>Jump Trading (1*1Gig)</t>
  </si>
  <si>
    <t>18-05-2026  
06:15:37</t>
  </si>
  <si>
    <t>18-05-2026  
06:22:27</t>
  </si>
  <si>
    <t>fiber cut was on working path between Ajipura to Bhaiyapura &amp; fiber cut observed between Valsad to Kapletha in protection path.</t>
  </si>
  <si>
    <t>FGL-Delhi-Bongaon Peering
Meta Delhi (100G VLAN-1487/1482
Peerex_Google_Delhi &amp;Velocity (100G) VLAN-1453&amp;1491
Google VLAN-1471(100G)
Google StarTrek VLAN-1462 (40G)</t>
  </si>
  <si>
    <t>19-05-2026  
14:25:52</t>
  </si>
  <si>
    <t>19-05-2026  
14:25:56</t>
  </si>
  <si>
    <t>Equinix Offnet Service- RFO awaited</t>
  </si>
  <si>
    <t>EQUINIX CKT:23310492 , 23310493</t>
  </si>
  <si>
    <t>19-05-2026  
16:24:46</t>
  </si>
  <si>
    <t>19-05-2026  
16:26:32</t>
  </si>
  <si>
    <t>fiber cut was already ongoing on the protection path since 14:25 IST between Manubolu and Sullurpeta in the Hyderabad–Chennai NLD segment.
Subsequently, at around 16:24 IST, a fiber cut was observed on the worker path between Crtls and MNR Nagar in the   Bangalore–Chennai NLD</t>
  </si>
  <si>
    <t>FGL
Chennai-Bongaon Google-3(50G)VLAN-1486</t>
  </si>
  <si>
    <t>PRN-01-MUM-GPX02-CHNDV-MUM-STTxx-BKCxx-P-000549_1
PRN-01-MUM-GPX02-CHNDV-MUM-STTxx-BKCxx-P-000549_2</t>
  </si>
  <si>
    <t>Sify (1*100G BGLR-CHN)</t>
  </si>
  <si>
    <t>Protection SNC was in implicit mode having same path as work path. Work and protection SNC went down at same time due to fiber cut between CRTL-S to Attibelli-3 (S409)</t>
  </si>
  <si>
    <t>19-05-2026  
14:44:13</t>
  </si>
  <si>
    <t>19-05-2026 
 14:45:12</t>
  </si>
  <si>
    <t>19-05-2026  
15:30:00</t>
  </si>
  <si>
    <t>20-05-2026 
 14:30:00</t>
  </si>
  <si>
    <t>20-05-2026  
15:06:33</t>
  </si>
  <si>
    <t>20-05-2026
  15:10:06</t>
  </si>
  <si>
    <t>MTTR in 
Mints</t>
  </si>
  <si>
    <t>META (Mumbai - Hyderabad DCI link-3)
9.6T</t>
  </si>
  <si>
    <t>META (Hyderabad-Chennai Link-5)
9.6T</t>
  </si>
  <si>
    <t>Link-6 fiber cut between Manubolu and Sullurpeta in Link-6 and fiber span fluctuation between Bangalore CRTLS and Rajaji Nagar.</t>
  </si>
  <si>
    <t>05-05-2026
  19:11:00</t>
  </si>
  <si>
    <t>000137, 000138, 000139, 000140, 000141, 000160, 001421, 001422, 001423, 001424, 001425, 001426, 001427, 001428, 001511, 001512, 001513, 001514, 001515, 001516, 001517, 001518, 001519, 001520, 001521, 001522, 000290, 000291, 000998, 000969, 000970, 000966, 000967, 001231, 001232, 001233, 001234, 001321, 000125, 000903, 001368, 001322, 001215, 001177, 001178, 001263, 001264, 001266, 001267, 001268, 001269</t>
  </si>
  <si>
    <t>000138, 000139, 000140, 000141, 000160, 001422, 001423, 001424, 001425, 001426, 001427, 001428, 000290, 000291, 
000998, 000969, 000970, 000966, 000967, 001231, 001232, 001233, 001234, 001321, 000125, 001322, 001177, 001178, 001263, 001264, 001266, 001267, 001268, 001269</t>
  </si>
  <si>
    <t>000137, 000138, 000139, 000140, 000141, 000160, 001421, 001422, 001423, 001424, 001425, 001426, 001427, 001428, 001511, 001512, 001513, 001514, 001515, 001516, 001517, 001518, 001519, 001520, 001521, 001522, 000290, 000291, 001569, 000998, 000969, 000970, 000966, 000967, 001231, 001232, 001233, 001234, 001321, 000125, 000903, 001368, 001177, 001178, 001263, 001264, 001266, 001267, 001268, 001269, 001215, 001322</t>
  </si>
  <si>
    <t xml:space="preserve">001368, </t>
  </si>
  <si>
    <t>Google (3*100G MUM-CHN), Netflix (MUM-CHN 100G)</t>
  </si>
  <si>
    <t>000404, 000405, 001145, 001098</t>
  </si>
  <si>
    <t xml:space="preserve">000980, </t>
  </si>
  <si>
    <t>19-05-2026  
17:04:00</t>
  </si>
  <si>
    <t>001535, 001259</t>
  </si>
  <si>
    <t>Protection channels were in restoration state post fiber cut between Sify Rabale to Taloja (S75) at 13:37 IST due to fiber cut.
Worker path down at 13:40 IST due to span fluctuation between GPX2 to IBM (S10).</t>
  </si>
  <si>
    <t>21-05-2026
13:40:58</t>
  </si>
  <si>
    <t>21-05-2026
13:43:08</t>
  </si>
  <si>
    <t>21-05-2026
16:27:05</t>
  </si>
  <si>
    <t>21-05-2026
16:29:32</t>
  </si>
  <si>
    <t>Protection channels were in restoration state post fiber cut between Sify Rabale to  Yotta  at 13:37 IST due to fiber cut. Worker path down at due to span fluctuation between GPX2 to IBM (S10).</t>
  </si>
  <si>
    <t>21-05-2026 
 17:48:00</t>
  </si>
  <si>
    <t>Wells Fargo (1*10G) CHN Metro</t>
  </si>
  <si>
    <t>21-05-2026  
13:40:53
16:27:02
16:39:37</t>
  </si>
  <si>
    <t>21-05-2026  
13:43:12
16:29:40
16:41:23</t>
  </si>
  <si>
    <t>22-05-2026  
22:54:07</t>
  </si>
  <si>
    <t>22-05-2026  
22:54:18</t>
  </si>
  <si>
    <t>The services were impacted due to a fiber cut between Sahjahanpur and Hardoi on the Noida–Sanauli NLD segment during the mentioned timestamp.</t>
  </si>
  <si>
    <t>NDS Noi-Sanuli(3*100G)BGP flapped</t>
  </si>
  <si>
    <t>Work SNC was in reversion state post fiber cut restored between CTRLS to MNR Nagar in Link-3. Fiber cut in link-6 between HYBD_CRTLS to Transco_MDP_2_S434 and S433.</t>
  </si>
  <si>
    <t>Work SNC was affected due to span flap between CTRLS to MNR Nagar in Link-3. Fiber cut in link-6 between HYBD_CRTLS to Transco_MDP_2_S434 and S433.</t>
  </si>
  <si>
    <t>MUM-SING : COLT (2*10G)</t>
  </si>
  <si>
    <t>Work channel was in reversion post span fluctuation cleared between CTRL-S to MNR Nagar. Link-6 channel was in revesion state post fiber cut restored.</t>
  </si>
  <si>
    <t>LOS alarm was observed on protection path on Hyderabad Madapur. Work SNC was in reversion state at 23:06 post fiber cut restored between Basavangudi to Kuppam</t>
  </si>
  <si>
    <t>Amazon (1*100G MUM-HYD)</t>
  </si>
  <si>
    <t>22-05-2026
15:16:45</t>
  </si>
  <si>
    <t>22-05-2026
15:17:49</t>
  </si>
  <si>
    <t>22-05-2026
15:25:28</t>
  </si>
  <si>
    <t>22-05-2026
15:26:44</t>
  </si>
  <si>
    <t>22-05-2026
16:11:02</t>
  </si>
  <si>
    <t>22-05-2026
16:11:26</t>
  </si>
  <si>
    <t>22-05-2026
23:06:27</t>
  </si>
  <si>
    <t>22-05-2026
23:07:58</t>
  </si>
  <si>
    <t>23-05-2026
15:42:08</t>
  </si>
  <si>
    <t>23-05-2026
15:59:47</t>
  </si>
  <si>
    <t>23-05-2026
15:42:28</t>
  </si>
  <si>
    <t>23-05-2026
15:42:43</t>
  </si>
  <si>
    <t>23-05-2026
15:59:30</t>
  </si>
  <si>
    <t>23-05-2026
15:59:43</t>
  </si>
  <si>
    <t>23-05-2026
16:00:53</t>
  </si>
  <si>
    <t>23-05-2026
16:02:42</t>
  </si>
  <si>
    <t>MUM-KOL: Vodafone(4*100G),</t>
  </si>
  <si>
    <t>Oracle(1*100G DEL-HYD)</t>
  </si>
  <si>
    <t>Amazon(22*100G MUM-DEL)</t>
  </si>
  <si>
    <t>Riot Games(1*10G MUM-DEL)</t>
  </si>
  <si>
    <t>23-05-2026
16:00:00</t>
  </si>
  <si>
    <t>23-05-2026
16:02:46</t>
  </si>
  <si>
    <t xml:space="preserve"> 000981, 000982, 000983, 000984, 001157, 001158, 001159, 001160, 001177, 001178, 001263, 001264, 001266, 001267, 001268, 001269</t>
  </si>
  <si>
    <t xml:space="preserve">
BLR-CHN: Sify (1*100G), Phone pe (2*10G)</t>
  </si>
  <si>
    <t>22-05-2026  
11:17:00</t>
  </si>
  <si>
    <t>23-05-2026  
08:45:17</t>
  </si>
  <si>
    <t>23-05-2026  
08:45:19</t>
  </si>
  <si>
    <t>The services were impacted due to restoration event post fiber cut between Sahjahanpur and Hardoi  restored on the Noida to Sanauli NLD segment during the mentioned timestamp.</t>
  </si>
  <si>
    <t>23-05-2026  
12:41:10</t>
  </si>
  <si>
    <t>23-05-2026  
12:50:29</t>
  </si>
  <si>
    <t>worker path down at 12:41 IST between IP3 to Chincholi (s182_3) &amp; fiber span fluctuation between GK1 to Spectra (s86) in protection path.</t>
  </si>
  <si>
    <t>SHYAM SPECTRA (1*2.5G, 1*6G)</t>
  </si>
  <si>
    <t xml:space="preserve">091MUMB1258A0285045 </t>
  </si>
  <si>
    <t>TCL Offnet service- RFO awaited</t>
  </si>
  <si>
    <t>24-05-2026  
00:11:22</t>
  </si>
  <si>
    <t>24-05-2026  
01:06:40</t>
  </si>
  <si>
    <t>MUM-CHN : TELSTRA(1*100G), VERIZON(1*10G), CLOUDFLARE(1*100G), NTT(1*10G), GOOGLE(7*100G), PHONE PE(1*10G), SIFY CORP(1*10G), MICROSOFT(4*100G), Netflix(1*100G)</t>
  </si>
  <si>
    <t>Protection SNC is not on home path due to fiber fluctuation Shihi_Village and Gift-City_Lavarpar(S81_1 and S81_2) .Worker SNC was in reversion state post fiber cut restored Phadge and SV16.Fiber fluctuation observed beween IP3 and Phadge.</t>
  </si>
  <si>
    <t>Worker SNC was in reversion state post fiber cut restored Phadge and SV16.Protection path SNC flap due to fiber fluctuation was observed between Shihi_Village and Gift-City_Lavarpar(S81_1 and S81_2) .</t>
  </si>
  <si>
    <t>000137, 000138, 000140, 000141, 000160, 001422, 001423, 001424, 001425, 001426, 001427, 001428, 001511, 001512, 001514, 001515, 001517, 001518, 001519, 001520, 001521, 000291</t>
  </si>
  <si>
    <t>25-05-2026
04:31:46
04:37:15</t>
  </si>
  <si>
    <t>25-05-2026
04:32:03
04:37:27</t>
  </si>
  <si>
    <t>Sify (1*100G HYD-CHN)</t>
  </si>
  <si>
    <t>HYD Metro: TCL(1*10G), Oracle(1*100G), Flipkart(1*10G)</t>
  </si>
  <si>
    <t>TTOPS Channel. Tranponder card TRM-2-15 faulty Hyderabad Metro Sify FD. Card replaced and services restored</t>
  </si>
  <si>
    <t>25-05-2026  
00:32:42</t>
  </si>
  <si>
    <t>25-05-2026  
00:39:51</t>
  </si>
  <si>
    <t>Link was down due to Hardware issue in Link 6 (working path) between TDK to Satenapalli and CHN in link 2 (Protection path) CHN-35569 (Radhanpur-suigam)</t>
  </si>
  <si>
    <t>25-05-2026  
11:27:51</t>
  </si>
  <si>
    <t>25-05-2026  
11:31:33</t>
  </si>
  <si>
    <t>27-05-2026  
06:07:28</t>
  </si>
  <si>
    <t>27-05-2026  
06:52:46</t>
  </si>
  <si>
    <t>27-05-2026  
06:07:29</t>
  </si>
  <si>
    <t>27-05-2026  
06:22:43</t>
  </si>
  <si>
    <t>VLE-01-KOL-LTVxx-GLBSN-WBL-BONGN-ASCND-P-001527</t>
  </si>
  <si>
    <t>VLE-03-KOL-STTxx-ULTDG-WBL-BONGN-ASCND-P-002011
VLE-03-KOL-STTxx-ULTDG-WBL-BONGN-ASCND-P-000756
VLE-03-CHN-STTxx-VSNLx-WBL-BONGN-ASCND-P-000534
VLE_EXT_01_KOL-GLBSN-LTVXX_N01_WBL-BONGN-ASCND_N01_P_000411
VLE_EXT_01_KOL-GLBSN-LTVXX_N01_WBL-BONGN-ASCND_N01_P_000410
VLE_EXT_01_KOL-GLBSN-LTVXX_N01_WBL-BONGN-ASCND_N01_P_000412</t>
  </si>
  <si>
    <t>25-05-2026
10:19:00</t>
  </si>
  <si>
    <t>Microsoft (8*400G CHN MOFN)</t>
  </si>
  <si>
    <t>Microsoft reported service down at 10:19 IST. No issue was observed in LTC media. Further access request was sent at 12:48 IST. Access received at 17:00 IST. Card replaced and alarm cleared at 17:32 IST</t>
  </si>
  <si>
    <t>25-05-2026
17:32:00</t>
  </si>
  <si>
    <t>Phonepe(1*10G BLR-PUN)</t>
  </si>
  <si>
    <t>Microsoft PUNE MOFN PNQ322  (25.6T)</t>
  </si>
  <si>
    <t>Microsoft PUNE MOFN PNQ326 (12.8T)</t>
  </si>
  <si>
    <t>Microsoft PUNE MOFN PNQ328 (12.8T)</t>
  </si>
  <si>
    <t>Microsoft PUNE MOFN PNQ330 (12.8T)</t>
  </si>
  <si>
    <t>Fiber cut in Pune MOFN network. Cut at 9 km from Dighi partial Fiber break inside Joint closure</t>
  </si>
  <si>
    <t>MUM-DEL: Meta(2*100G), Amazon(2*100G)
MUM-KOL: Vodafone(4*100G)</t>
  </si>
  <si>
    <t>Link02 down since 13:16 IST due to fiber cut between Shihi Village to Vernala Vadodra (S81_3). Link01 was down due to since 15:42 IST to 15:47 IST due to span fluctuataed between GPX2 to IBM (S249)</t>
  </si>
  <si>
    <t>Fiber cut in worker path between Netmegic whitefield and Govindappa at 10.38 IST. While worker channel was in restoration state, another fiber cut was observed at 10:42 IST between  Bangalore CRTLS and MNR Nagar.</t>
  </si>
  <si>
    <t>007715, 007716, 007717, 007718, 007719, 007720, 007721, 007722</t>
  </si>
  <si>
    <t>001258, 001119, 001597</t>
  </si>
  <si>
    <t xml:space="preserve">000125, </t>
  </si>
  <si>
    <t xml:space="preserve">001543, </t>
  </si>
  <si>
    <t>000160, 001518, 000969, 000970, 001266, 001267, 001268, 001269</t>
  </si>
  <si>
    <t>Fiber cut ongoing in path-1 (Subnet: I4) since 15:42 hrs IST and Path two (Subnet: I3) is down since 17:53IST. Restored post fiber cut in subnet I3 was restored</t>
  </si>
  <si>
    <t>29-05-2026  
06:34:33</t>
  </si>
  <si>
    <t>29-05-2026  
06:34:34</t>
  </si>
  <si>
    <t>Link was impacted due to span degrade between Maharajganj to FCI in LTC NLD media.</t>
  </si>
  <si>
    <t>29-05-2026  
08:58:19</t>
  </si>
  <si>
    <t>29-05-2026  
08:58:33</t>
  </si>
  <si>
    <t>Service flapped due to fiber cut in Globsys crystals to Howrah in worker path and fiber span degrade between Noida Alphatam to N37 in protection path.</t>
  </si>
  <si>
    <t>30-05-2026  
14:49:33</t>
  </si>
  <si>
    <t>30-05-2026  
15:01:16</t>
  </si>
  <si>
    <t>TX Provisioning (Rahul) was working on new HLD for same link, while field engineer removed existing patch cord at CHN Annasalai DC</t>
  </si>
  <si>
    <t>30-05-2026  
15:12:27</t>
  </si>
  <si>
    <t>30-05-2026  
16:04:50</t>
  </si>
  <si>
    <t>30-05-2026  
18:04:07</t>
  </si>
  <si>
    <t>30-05-2026  
18:10:40</t>
  </si>
  <si>
    <t>Jump Trading (1*1G), Exotel(1*1G)</t>
  </si>
  <si>
    <t>Amazon (1*100G MUM-DEL)</t>
  </si>
  <si>
    <t xml:space="preserve">Link02 down since 13:16 IST due to fiber cut between Shihi Village to Vernala Vadodra (S81_3). Worker path was affected due to degradation between IBM to GPX-2. </t>
  </si>
  <si>
    <t>Sify(1*100G MUM-KOL)</t>
  </si>
  <si>
    <t>PNQ326, PNQ328, PNQ330 (38.4T)
Microsoft Pune MOFN</t>
  </si>
  <si>
    <t>Fiber cut in link-17 and Link-20 between Howrah to Globsyn at same time.</t>
  </si>
  <si>
    <t>Multiple fiber cut in Supplier network (Sify) at Chennai metro location. Sify is offnet provider</t>
  </si>
  <si>
    <t>Fiber cut in supplier Sify media. Sify is offnet provider</t>
  </si>
  <si>
    <t>NTT DEL Metro (1*10G)</t>
  </si>
  <si>
    <t>00:01:55
00:02:42</t>
  </si>
  <si>
    <t xml:space="preserve">008008, </t>
  </si>
  <si>
    <t xml:space="preserve">Fiber cut in NLD Link-1 in between Jatuali to Nimoth (S5_5) since 11:26 hrs IST.
Fiber cut in NLD Link-2 from Hayatpur to Spectranet (S239_1) since 15:12 hrs IST. </t>
  </si>
  <si>
    <t>Worker SNC not on home path due to fiber cut S409_1 from BLR_CRTLS to Attibele_3 from 15:48.
Protection path down at S168 However at the time of the outage the service was running on same subnet on S168 on both path Dommasandra_2 to MN BASAVANAGUDI.</t>
  </si>
  <si>
    <t>META(BGLR-CHN 16*100G), Phonep Pe (2*10G), Sify(1*100G)</t>
  </si>
  <si>
    <t>Link-2 down at 18:00 IST due to fiber cut between KOSHAMBA to ASURIA_BHARUCH_S79_5. Fiber cut in link-1 between Phadge to SV16.</t>
  </si>
  <si>
    <t xml:space="preserve">OPGW fiber cut between Jalna to Partur due to rock blasting incident </t>
  </si>
  <si>
    <t>DTL changes performed to avoid same issue in future</t>
  </si>
  <si>
    <t>23-05-2026
15:49:00</t>
  </si>
  <si>
    <t>23-05-2026
15:53:00</t>
  </si>
  <si>
    <t>Worker path was already down due to a fiber cut between TDK–VTPS and TDK–Sattenapalli in link-6. Minor span degradation was observed betweeen CTRL-S to Basavangudi</t>
  </si>
  <si>
    <t>25-05-2026 
 11:41:44</t>
  </si>
  <si>
    <t>Traffic can be shifted to S11</t>
  </si>
  <si>
    <t>Fiber cut in Pune MOFN network. Overhead Cut at 8.3km from Dighi due to road expansion.</t>
  </si>
  <si>
    <t>Protection connections were were not created in shimlayer provisioning. Worker path affected due to span flcutuations between Netmagic to Alphathum. Service went down as protection path was not available and service retored post span fluctuations was cleared.</t>
  </si>
  <si>
    <t>FGL Ultadanga to Kolkata Bongaon 
Meta Primary(100G) VLAN-1466
Meta Tertiary(100G)VLAN-1479
Meta-4(100G) VLAN-1483&amp;1456
WCL Akamai &amp; Amazon(100G) VLAN-1485
Chennai – Kolkata Bongaon (Google)(100G) VLAN-1470/1468</t>
  </si>
  <si>
    <t>FGLChennai – Kolkata Bongaon (Google)(100G)
VLAN-1470/1468</t>
  </si>
  <si>
    <t>1-Protection channels were in restoration state post fiber cut between Sify Rabale to Taloja (S75) at 13:37 IST due to fiber cut. Worker path down at 13:40 IST due to span fluctuation between GPX2 to IBM (S10).
2-Services were in reversion state on the protection path. between Sify Rabale and Taloja since 16:27:00 Hrs.  At 16:27:02 Hrs. IST, a fiber fluctuation was observed between GPX and IBM on the worker path 
3-services were in reversion state on the protection path. between Sify Rabale and Taloja since 16:27:00 Hrs. At 16:39:37 Hrs. IST, a fiber fluctuation was observed between GPX and IBM on the worker path</t>
  </si>
  <si>
    <t xml:space="preserve">hardware issue in Link 6 working 
Fiber cut in link 5 &amp; 7 between Berigai to Kuppam in protection path </t>
  </si>
  <si>
    <t>FGL
Ultadanga-Bongaon Kolkata (FGL-IPT)(100G) 1417</t>
  </si>
  <si>
    <t xml:space="preserve">10.200.53.51 WBN24PBGONACCIXR6D01 router isolate. High-temperature alarm was observed on the Bongaon node, which caused the card to go down. After the temperature was brought under control, the service was restored successfully. </t>
  </si>
  <si>
    <t xml:space="preserve">10.200.53.51 WBN24PBGONACCIXR6D01 router isolate. High-temperature alarm was observed on the Bongaon node, which caused the card to go down.
After the temperature was brought under control, the service was restored successfully. </t>
  </si>
  <si>
    <t>Protection SNC is not on home path due to fiber fluctuation Shihi_Village and Gift-City_Lavarpar(S81_1 and S81_2) .Worker SNC was in reversion state post fiber cut restored Phadge and SV16. Fiber fluctuation observed beween IP3 and Phadge.</t>
  </si>
  <si>
    <t>19-05-2026
21:35:15</t>
  </si>
  <si>
    <t>19-05-2026
21:35:24</t>
  </si>
  <si>
    <t>Momentary degradation in supplier network</t>
  </si>
  <si>
    <t>001430, 007262, 000999, 001086, 000402, 000404, 000405, 001149, 001150, 001151, 001152, 001551, 001241, 000925, 000926, 000927, 000928, 001098</t>
  </si>
  <si>
    <t>26-05-2026
01:59:51</t>
  </si>
  <si>
    <t>26-05-2026
04:55:40</t>
  </si>
  <si>
    <t>26-05-2026
02:36:52</t>
  </si>
  <si>
    <t>26-05-2026
05:13:42</t>
  </si>
  <si>
    <t>26-05-2026
11:08:13</t>
  </si>
  <si>
    <t>27-05-2026
10:43:26</t>
  </si>
  <si>
    <t>27-05-2026
15:53:00</t>
  </si>
  <si>
    <t>27-05-2026
23:56:33</t>
  </si>
  <si>
    <t>27-05-2026
22:25:44</t>
  </si>
  <si>
    <t>27-05-2026
22:28:47</t>
  </si>
  <si>
    <t>27-05-2026
23:24:51</t>
  </si>
  <si>
    <t>27-05-2026
18:16:00</t>
  </si>
  <si>
    <t>27-05-2026
19:02:36</t>
  </si>
  <si>
    <t>29-05-2026
08:58:36</t>
  </si>
  <si>
    <t>20-05-2026
19:30:55
19:42:04</t>
  </si>
  <si>
    <t>30-05-2026
12:30:00</t>
  </si>
  <si>
    <t>30-05-2026
15:23:00</t>
  </si>
  <si>
    <t>30-05-2026
16:45:00</t>
  </si>
  <si>
    <t>30-05-2026
18:15:00</t>
  </si>
  <si>
    <t>30-05-2026
18:04:00</t>
  </si>
  <si>
    <t>30-05-2026
16:37:00</t>
  </si>
  <si>
    <t>30-05-2026
15:12:00</t>
  </si>
  <si>
    <t>30-05-2026
10:02:00</t>
  </si>
  <si>
    <t>29-05-2026
19:29:00
19:39:22</t>
  </si>
  <si>
    <t>29-05-2026
08:58:18</t>
  </si>
  <si>
    <t>27-05-2026
18:43:59</t>
  </si>
  <si>
    <t>27-05-2026
17:53:00</t>
  </si>
  <si>
    <t>27-05-2026
16:00:00</t>
  </si>
  <si>
    <t>27-05-2026
15:42:00</t>
  </si>
  <si>
    <t>27-05-2026
10:42:30</t>
  </si>
  <si>
    <t>26-05-2026
09:31:24</t>
  </si>
  <si>
    <t xml:space="preserve">001322, </t>
  </si>
  <si>
    <t>001177, 001264, 001268, 001269</t>
  </si>
  <si>
    <t xml:space="preserve">000154, </t>
  </si>
  <si>
    <t>Verizon (1*10G MUM-CHN)</t>
  </si>
  <si>
    <t>Service was affected due to fiber cut between Satenapalli to TDK to VTPS in protection path and span degradation between Bangalore CTRLS to Rajaji Nagar in worker path of NLD segment.</t>
  </si>
  <si>
    <t>25-05-2026
14:40:37</t>
  </si>
  <si>
    <t>25-05-2026
15:07:42</t>
  </si>
  <si>
    <t>25-05-2026
13:14:16</t>
  </si>
  <si>
    <t>25-05-2026
14:40:58</t>
  </si>
  <si>
    <t>25-05-2026
15:08:57</t>
  </si>
  <si>
    <t xml:space="preserve">007262, </t>
  </si>
  <si>
    <t xml:space="preserve">000138, </t>
  </si>
  <si>
    <t xml:space="preserve"> MUM-DEL: Amazon (24*100G),  RIOT GAMES (1*10G),ORACLE (1*100G)
 CLOUDFLARE(1*100G), META (3*100G)
DEL-HYD: ORACLE (1*100G),
MUM-KOL: VODAFONE (7*100),
DEL-GUJ: META (8*100G), AMAZON LEO(1*100G)
MUM-KHU: AMAZON LEO (1*100G)</t>
  </si>
  <si>
    <t>000137, 000138, 000139, 000140, 000141, 000160, 001422, 001423, 001424, 001425, 001426, 001427, 001428, 001511, 001512, 001514, 001515, 001517, 001518, 001519, 001520, 001521, 000290, 000291, 000125, 001321, 000998, 000969, 000970, 001234, 001322, 001177, 001263, 001264, 001266, 001267, 001268, 001269, 001381, 001382, 001383, 001384, 001385, 001386, 001387, 001388, 001495, 001215</t>
  </si>
  <si>
    <t>001161, 001162, 001163, 001164, 001165, 001166, 001167, 001168, 001661, 001662, 001663, 001664, 001665, 001666, 001667, 001668, 001542, 001552, 001340</t>
  </si>
  <si>
    <t>MUM-DEL: Amazon (15*100G), Telstra(1*100G), Riot Games(1*10G), Meta (8*100G),
MUM-KOL: Vodafone(3*100G), 
MUM-KHU: Amazon LEO (1*100G)</t>
  </si>
  <si>
    <t>000137, 000160, 001425, 001426, 001427, 001428, 001511, 001514, 001515, 001517, 001518, 001519, 001520, 000290, 000291, 001368, 000125, 000969, 000970, 000966, 000967, 001231, 001232, 001233, 001234, 001177, 001263, 001264, 001215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</si>
</sst>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ss"/>
    <numFmt numFmtId="165" formatCode="h:mm:ss;@"/>
  </numFmts>
  <fonts count="43" x14ac:knownFonts="1">
    <font>
      <sz val="11"/>
      <color theme="1"/>
      <name val="Calibri"/>
      <family val="2"/>
      <scheme val="minor"/>
    </font>
    <font>
      <sz val="11"/>
      <color rgb="FF000000"/>
      <name val="Calibri"/>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0"/>
      <name val="Calibri"/>
      <family val="2"/>
      <scheme val="minor"/>
    </font>
    <font>
      <b/>
      <sz val="10"/>
      <color theme="1"/>
      <name val="Calibri"/>
      <family val="2"/>
      <scheme val="minor"/>
    </font>
    <font>
      <b/>
      <sz val="9"/>
      <name val="Calibri"/>
      <family val="2"/>
      <scheme val="minor"/>
    </font>
    <font>
      <b/>
      <sz val="9"/>
      <color theme="1"/>
      <name val="Calibri"/>
      <family val="2"/>
      <scheme val="minor"/>
    </font>
    <font>
      <sz val="9"/>
      <color theme="1"/>
      <name val="Calibri"/>
      <family val="2"/>
      <scheme val="minor"/>
    </font>
    <font>
      <sz val="9"/>
      <color theme="0"/>
      <name val="Calibri"/>
      <family val="2"/>
      <scheme val="minor"/>
    </font>
    <font>
      <sz val="10"/>
      <name val="Calibri"/>
      <family val="2"/>
      <scheme val="minor"/>
    </font>
    <font>
      <sz val="10"/>
      <color indexed="8"/>
      <name val="Calibri"/>
      <family val="2"/>
      <scheme val="minor"/>
    </font>
    <font>
      <sz val="9"/>
      <name val="Calibri"/>
      <family val="2"/>
    </font>
    <font>
      <sz val="9"/>
      <color indexed="8"/>
      <name val="Calibri"/>
      <family val="2"/>
    </font>
    <font>
      <sz val="9"/>
      <name val="Calibri"/>
      <family val="2"/>
      <scheme val="minor"/>
    </font>
    <font>
      <sz val="10"/>
      <color rgb="FFFF0000"/>
      <name val="Calibri"/>
      <family val="2"/>
      <scheme val="minor"/>
    </font>
    <font>
      <sz val="9"/>
      <color rgb="FF000000"/>
      <name val="Calibri"/>
      <family val="2"/>
    </font>
    <font>
      <sz val="10"/>
      <color rgb="FF000000"/>
      <name val="Calibri"/>
      <family val="2"/>
    </font>
    <font>
      <sz val="9"/>
      <color theme="1"/>
      <name val="Calibri"/>
      <family val="2"/>
    </font>
    <font>
      <sz val="9"/>
      <name val="Calibri"/>
      <family val="2"/>
    </font>
    <font>
      <sz val="9"/>
      <color indexed="8"/>
      <name val="Calibri"/>
      <family val="2"/>
    </font>
    <font>
      <sz val="9"/>
      <name val="Calibri"/>
      <family val="2"/>
    </font>
    <font>
      <sz val="9"/>
      <color indexed="8"/>
      <name val="Calibri"/>
      <family val="2"/>
    </font>
    <font>
      <sz val="8"/>
      <name val="Calibri"/>
      <family val="2"/>
      <scheme val="minor"/>
    </font>
    <font>
      <sz val="9"/>
      <name val="Calibri"/>
      <family val="2"/>
    </font>
    <font>
      <sz val="9"/>
      <color indexed="8"/>
      <name val="Calibri"/>
      <family val="2"/>
    </font>
    <font>
      <sz val="9"/>
      <color theme="1"/>
      <name val="Calibri"/>
      <family val="2"/>
    </font>
  </fonts>
  <fills count="40">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rgb="FFFFFFCC"/>
        <bgColor indexed="64"/>
      </patternFill>
    </fill>
    <fill>
      <patternFill patternType="solid">
        <fgColor rgb="FFFFFF00"/>
        <bgColor indexed="64"/>
      </patternFill>
    </fill>
    <fill>
      <patternFill patternType="solid">
        <fgColor theme="1"/>
        <bgColor indexed="64"/>
      </patternFill>
    </fill>
    <fill>
      <patternFill patternType="solid">
        <fgColor theme="7" tint="0.79998168889431442"/>
        <bgColor indexed="64"/>
      </patternFill>
    </fill>
    <fill>
      <patternFill patternType="solid">
        <fgColor theme="5"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s>
  <cellStyleXfs count="44">
    <xf numFmtId="0" fontId="0" fillId="0" borderId="0"/>
    <xf numFmtId="0" fontId="1" fillId="0" borderId="0" applyNumberFormat="0" applyBorder="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6" borderId="5" applyNumberFormat="0" applyAlignment="0" applyProtection="0"/>
    <xf numFmtId="0" fontId="11" fillId="7" borderId="6" applyNumberFormat="0" applyAlignment="0" applyProtection="0"/>
    <xf numFmtId="0" fontId="12" fillId="7" borderId="5" applyNumberFormat="0" applyAlignment="0" applyProtection="0"/>
    <xf numFmtId="0" fontId="13" fillId="0" borderId="7" applyNumberFormat="0" applyFill="0" applyAlignment="0" applyProtection="0"/>
    <xf numFmtId="0" fontId="14" fillId="8" borderId="8" applyNumberFormat="0" applyAlignment="0" applyProtection="0"/>
    <xf numFmtId="0" fontId="15" fillId="0" borderId="0" applyNumberFormat="0" applyFill="0" applyBorder="0" applyAlignment="0" applyProtection="0"/>
    <xf numFmtId="0" fontId="2" fillId="9"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18"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18"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18"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18"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18"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1" fillId="0" borderId="0"/>
  </cellStyleXfs>
  <cellXfs count="96">
    <xf numFmtId="0" fontId="0" fillId="0" borderId="0" xfId="0"/>
    <xf numFmtId="0" fontId="0" fillId="0" borderId="1" xfId="0" applyBorder="1" applyAlignment="1">
      <alignment horizontal="center" vertical="center"/>
    </xf>
    <xf numFmtId="0" fontId="19" fillId="0" borderId="1" xfId="0" applyFont="1" applyBorder="1" applyAlignment="1">
      <alignment horizontal="center" vertical="center"/>
    </xf>
    <xf numFmtId="164" fontId="20" fillId="34" borderId="1" xfId="0" applyNumberFormat="1" applyFont="1" applyFill="1" applyBorder="1" applyAlignment="1">
      <alignment horizontal="center" vertical="center" wrapText="1"/>
    </xf>
    <xf numFmtId="21" fontId="21" fillId="34" borderId="1" xfId="0" applyNumberFormat="1" applyFont="1" applyFill="1" applyBorder="1" applyAlignment="1">
      <alignment horizontal="center" vertical="center" wrapText="1"/>
    </xf>
    <xf numFmtId="0" fontId="21" fillId="34" borderId="1" xfId="0" applyFont="1" applyFill="1" applyBorder="1" applyAlignment="1">
      <alignment horizontal="center" vertical="center" wrapText="1"/>
    </xf>
    <xf numFmtId="21" fontId="19" fillId="0" borderId="1" xfId="0" applyNumberFormat="1" applyFont="1" applyBorder="1" applyAlignment="1">
      <alignment horizontal="center" vertical="center" wrapText="1"/>
    </xf>
    <xf numFmtId="0" fontId="19" fillId="0" borderId="1" xfId="0" applyFont="1" applyBorder="1" applyAlignment="1">
      <alignment horizontal="center" vertical="center" wrapText="1"/>
    </xf>
    <xf numFmtId="164" fontId="22" fillId="34" borderId="1" xfId="0" applyNumberFormat="1" applyFont="1" applyFill="1" applyBorder="1" applyAlignment="1">
      <alignment horizontal="center" vertical="center" wrapText="1"/>
    </xf>
    <xf numFmtId="21" fontId="23" fillId="34" borderId="1" xfId="0" applyNumberFormat="1" applyFont="1" applyFill="1" applyBorder="1" applyAlignment="1">
      <alignment horizontal="center" vertical="center" wrapText="1"/>
    </xf>
    <xf numFmtId="0" fontId="23" fillId="34" borderId="1" xfId="0" applyFont="1" applyFill="1" applyBorder="1" applyAlignment="1">
      <alignment horizontal="center" vertical="center" wrapText="1"/>
    </xf>
    <xf numFmtId="0" fontId="24" fillId="0" borderId="0" xfId="0" applyFont="1"/>
    <xf numFmtId="0" fontId="24" fillId="0" borderId="1" xfId="0" applyFont="1" applyBorder="1" applyAlignment="1">
      <alignment horizontal="center" vertical="center" wrapText="1"/>
    </xf>
    <xf numFmtId="21" fontId="24" fillId="0" borderId="1" xfId="0" applyNumberFormat="1" applyFont="1" applyBorder="1" applyAlignment="1">
      <alignment horizontal="center" vertical="center" wrapText="1"/>
    </xf>
    <xf numFmtId="22" fontId="24" fillId="2" borderId="1" xfId="0" applyNumberFormat="1" applyFont="1" applyFill="1" applyBorder="1" applyAlignment="1">
      <alignment horizontal="center" vertical="center" wrapText="1"/>
    </xf>
    <xf numFmtId="0" fontId="24" fillId="0" borderId="1" xfId="0" applyFont="1" applyBorder="1" applyAlignment="1">
      <alignment horizontal="center" vertical="center" wrapText="1" readingOrder="1"/>
    </xf>
    <xf numFmtId="0" fontId="25" fillId="0" borderId="1" xfId="0" applyFont="1" applyBorder="1" applyAlignment="1">
      <alignment horizontal="center" vertical="center" wrapText="1"/>
    </xf>
    <xf numFmtId="0" fontId="19" fillId="0" borderId="0" xfId="0" applyFont="1"/>
    <xf numFmtId="164" fontId="26" fillId="0" borderId="1" xfId="0" applyNumberFormat="1" applyFont="1" applyBorder="1" applyAlignment="1">
      <alignment horizontal="center" vertical="center" wrapText="1"/>
    </xf>
    <xf numFmtId="165" fontId="27" fillId="0" borderId="1" xfId="0" applyNumberFormat="1" applyFont="1" applyBorder="1" applyAlignment="1">
      <alignment horizontal="center" vertical="center"/>
    </xf>
    <xf numFmtId="1" fontId="27" fillId="0" borderId="1" xfId="0" applyNumberFormat="1" applyFont="1" applyBorder="1" applyAlignment="1">
      <alignment horizontal="center" vertical="center"/>
    </xf>
    <xf numFmtId="0" fontId="19" fillId="0" borderId="0" xfId="0" applyFont="1" applyAlignment="1">
      <alignment horizontal="left"/>
    </xf>
    <xf numFmtId="0" fontId="19" fillId="0" borderId="11" xfId="0" applyFont="1" applyBorder="1" applyAlignment="1">
      <alignment horizontal="center" vertical="center"/>
    </xf>
    <xf numFmtId="0" fontId="19" fillId="0" borderId="1" xfId="0" quotePrefix="1" applyFont="1" applyBorder="1" applyAlignment="1">
      <alignment horizontal="center" vertical="center" wrapText="1"/>
    </xf>
    <xf numFmtId="164" fontId="28" fillId="0" borderId="1" xfId="0" applyNumberFormat="1" applyFont="1" applyBorder="1" applyAlignment="1">
      <alignment horizontal="center" vertical="center" wrapText="1"/>
    </xf>
    <xf numFmtId="165" fontId="29" fillId="0" borderId="1" xfId="0" applyNumberFormat="1" applyFont="1" applyBorder="1" applyAlignment="1">
      <alignment horizontal="center" vertical="center"/>
    </xf>
    <xf numFmtId="1" fontId="29" fillId="0" borderId="1" xfId="0" applyNumberFormat="1" applyFont="1" applyBorder="1" applyAlignment="1">
      <alignment horizontal="center" vertical="center"/>
    </xf>
    <xf numFmtId="0" fontId="30" fillId="0" borderId="1" xfId="0" applyFont="1" applyBorder="1" applyAlignment="1">
      <alignment horizontal="center" vertical="center" wrapText="1"/>
    </xf>
    <xf numFmtId="22" fontId="24" fillId="0" borderId="1" xfId="0" applyNumberFormat="1" applyFont="1" applyBorder="1" applyAlignment="1">
      <alignment horizontal="center" vertical="center" wrapText="1"/>
    </xf>
    <xf numFmtId="0" fontId="24" fillId="0" borderId="1" xfId="0" applyFont="1" applyBorder="1" applyAlignment="1">
      <alignment horizontal="left" vertical="center" wrapText="1"/>
    </xf>
    <xf numFmtId="0" fontId="24" fillId="0" borderId="1" xfId="0" applyFont="1" applyBorder="1" applyAlignment="1">
      <alignment horizontal="left" vertical="center" wrapText="1" readingOrder="1"/>
    </xf>
    <xf numFmtId="0" fontId="24" fillId="0" borderId="0" xfId="0" applyFont="1" applyAlignment="1">
      <alignment horizontal="left"/>
    </xf>
    <xf numFmtId="0" fontId="19" fillId="0" borderId="1" xfId="0" applyFont="1" applyBorder="1" applyAlignment="1">
      <alignment horizontal="left" vertical="center"/>
    </xf>
    <xf numFmtId="0" fontId="24" fillId="0" borderId="1" xfId="0" applyFont="1" applyBorder="1" applyAlignment="1">
      <alignment horizontal="center" vertical="center"/>
    </xf>
    <xf numFmtId="0" fontId="31"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19" fillId="0" borderId="0" xfId="0" applyFont="1" applyAlignment="1">
      <alignment horizontal="center" vertical="center"/>
    </xf>
    <xf numFmtId="21" fontId="24" fillId="0" borderId="1" xfId="0" applyNumberFormat="1" applyFont="1" applyBorder="1" applyAlignment="1">
      <alignment horizontal="center" vertical="center"/>
    </xf>
    <xf numFmtId="14" fontId="24" fillId="0" borderId="1" xfId="0" applyNumberFormat="1" applyFont="1" applyBorder="1" applyAlignment="1">
      <alignment horizontal="center" vertical="center" wrapText="1"/>
    </xf>
    <xf numFmtId="17" fontId="24" fillId="0" borderId="1" xfId="0" quotePrefix="1" applyNumberFormat="1" applyFont="1" applyBorder="1" applyAlignment="1">
      <alignment horizontal="center" vertical="center" wrapText="1"/>
    </xf>
    <xf numFmtId="0" fontId="24" fillId="37" borderId="1" xfId="0" applyFont="1" applyFill="1" applyBorder="1" applyAlignment="1">
      <alignment horizontal="center" vertical="center" wrapText="1"/>
    </xf>
    <xf numFmtId="0" fontId="24" fillId="0" borderId="1" xfId="0" quotePrefix="1" applyFont="1" applyBorder="1" applyAlignment="1">
      <alignment horizontal="center" vertical="center" wrapText="1"/>
    </xf>
    <xf numFmtId="21" fontId="32" fillId="0" borderId="1" xfId="0" applyNumberFormat="1" applyFont="1" applyBorder="1" applyAlignment="1">
      <alignment horizontal="center" vertical="center"/>
    </xf>
    <xf numFmtId="0" fontId="25" fillId="37" borderId="1" xfId="0" applyFont="1" applyFill="1" applyBorder="1" applyAlignment="1">
      <alignment horizontal="center" vertical="center" wrapText="1"/>
    </xf>
    <xf numFmtId="0" fontId="19" fillId="0" borderId="12" xfId="0" applyFont="1" applyBorder="1" applyAlignment="1">
      <alignment horizontal="left" vertical="center"/>
    </xf>
    <xf numFmtId="21" fontId="19" fillId="0" borderId="1" xfId="0" applyNumberFormat="1" applyFont="1" applyBorder="1" applyAlignment="1">
      <alignment horizontal="center" vertical="center"/>
    </xf>
    <xf numFmtId="0" fontId="19" fillId="0" borderId="1" xfId="0" applyFont="1" applyBorder="1" applyAlignment="1">
      <alignment horizontal="center"/>
    </xf>
    <xf numFmtId="21" fontId="33" fillId="0" borderId="1" xfId="0" applyNumberFormat="1" applyFont="1" applyBorder="1" applyAlignment="1">
      <alignment horizontal="center" vertical="center"/>
    </xf>
    <xf numFmtId="1" fontId="34" fillId="0" borderId="1" xfId="0" applyNumberFormat="1" applyFont="1" applyBorder="1" applyAlignment="1">
      <alignment horizontal="center" vertical="center" wrapText="1"/>
    </xf>
    <xf numFmtId="20" fontId="24" fillId="0" borderId="1" xfId="0" applyNumberFormat="1" applyFont="1" applyBorder="1" applyAlignment="1">
      <alignment horizontal="center" vertical="center" wrapText="1"/>
    </xf>
    <xf numFmtId="164" fontId="28" fillId="0" borderId="13" xfId="0" applyNumberFormat="1" applyFont="1" applyBorder="1" applyAlignment="1">
      <alignment horizontal="center" vertical="center" wrapText="1"/>
    </xf>
    <xf numFmtId="165" fontId="29" fillId="0" borderId="13" xfId="0" applyNumberFormat="1" applyFont="1" applyBorder="1" applyAlignment="1">
      <alignment horizontal="center" vertical="center"/>
    </xf>
    <xf numFmtId="164" fontId="35" fillId="0" borderId="1" xfId="0" applyNumberFormat="1" applyFont="1" applyBorder="1" applyAlignment="1">
      <alignment horizontal="center" vertical="center" wrapText="1"/>
    </xf>
    <xf numFmtId="165" fontId="36" fillId="0" borderId="1" xfId="0" applyNumberFormat="1" applyFont="1" applyBorder="1" applyAlignment="1">
      <alignment horizontal="center" vertical="center"/>
    </xf>
    <xf numFmtId="1" fontId="36" fillId="0" borderId="1" xfId="0" applyNumberFormat="1" applyFont="1" applyBorder="1" applyAlignment="1">
      <alignment horizontal="center" vertical="center"/>
    </xf>
    <xf numFmtId="164" fontId="37" fillId="0" borderId="1" xfId="0" applyNumberFormat="1" applyFont="1" applyBorder="1" applyAlignment="1">
      <alignment horizontal="center" vertical="center" wrapText="1"/>
    </xf>
    <xf numFmtId="165" fontId="38" fillId="0" borderId="1" xfId="0" applyNumberFormat="1" applyFont="1" applyBorder="1" applyAlignment="1">
      <alignment horizontal="center" vertical="center"/>
    </xf>
    <xf numFmtId="164" fontId="20" fillId="34" borderId="1" xfId="0" applyNumberFormat="1" applyFont="1" applyFill="1" applyBorder="1" applyAlignment="1">
      <alignment horizontal="left" vertical="center" wrapText="1"/>
    </xf>
    <xf numFmtId="0" fontId="19" fillId="0" borderId="1" xfId="0" applyFont="1" applyBorder="1" applyAlignment="1">
      <alignment horizontal="left" vertical="center" wrapText="1"/>
    </xf>
    <xf numFmtId="0" fontId="19" fillId="0" borderId="1" xfId="0" applyFont="1" applyBorder="1" applyAlignment="1">
      <alignment horizontal="left" vertical="center" wrapText="1" readingOrder="1"/>
    </xf>
    <xf numFmtId="0" fontId="19" fillId="35" borderId="1" xfId="0" applyFont="1" applyFill="1" applyBorder="1" applyAlignment="1">
      <alignment horizontal="left" vertical="center" wrapText="1"/>
    </xf>
    <xf numFmtId="0" fontId="26" fillId="0" borderId="1" xfId="0" applyFont="1" applyBorder="1" applyAlignment="1">
      <alignment horizontal="left" vertical="center" wrapText="1"/>
    </xf>
    <xf numFmtId="0" fontId="31" fillId="0" borderId="1" xfId="0" applyFont="1" applyBorder="1" applyAlignment="1">
      <alignment horizontal="left" vertical="center" wrapText="1"/>
    </xf>
    <xf numFmtId="0" fontId="19" fillId="36" borderId="1" xfId="0" applyFont="1" applyFill="1" applyBorder="1" applyAlignment="1">
      <alignment horizontal="left" wrapText="1"/>
    </xf>
    <xf numFmtId="0" fontId="19" fillId="0" borderId="1" xfId="0" applyFont="1" applyBorder="1" applyAlignment="1">
      <alignment horizontal="left" wrapText="1"/>
    </xf>
    <xf numFmtId="0" fontId="21" fillId="0" borderId="1" xfId="0" applyFont="1" applyBorder="1" applyAlignment="1">
      <alignment horizontal="left" vertical="center" wrapText="1"/>
    </xf>
    <xf numFmtId="0" fontId="19" fillId="38" borderId="1" xfId="0" applyFont="1" applyFill="1" applyBorder="1" applyAlignment="1">
      <alignment horizontal="center" vertical="center" wrapText="1"/>
    </xf>
    <xf numFmtId="164" fontId="28" fillId="38" borderId="1" xfId="0" applyNumberFormat="1" applyFont="1" applyFill="1" applyBorder="1" applyAlignment="1">
      <alignment horizontal="center" vertical="center" wrapText="1"/>
    </xf>
    <xf numFmtId="165" fontId="29" fillId="38" borderId="1" xfId="0" applyNumberFormat="1" applyFont="1" applyFill="1" applyBorder="1" applyAlignment="1">
      <alignment horizontal="center" vertical="center"/>
    </xf>
    <xf numFmtId="0" fontId="19" fillId="38" borderId="1" xfId="0" applyFont="1" applyFill="1" applyBorder="1" applyAlignment="1">
      <alignment horizontal="center" vertical="center"/>
    </xf>
    <xf numFmtId="3" fontId="19" fillId="0" borderId="1" xfId="0" applyNumberFormat="1" applyFont="1" applyBorder="1" applyAlignment="1">
      <alignment horizontal="center" vertical="center" wrapText="1"/>
    </xf>
    <xf numFmtId="46" fontId="29" fillId="0" borderId="1" xfId="0" applyNumberFormat="1" applyFont="1" applyBorder="1" applyAlignment="1">
      <alignment horizontal="center" vertical="center"/>
    </xf>
    <xf numFmtId="46" fontId="38" fillId="0" borderId="1" xfId="0" applyNumberFormat="1" applyFont="1" applyBorder="1" applyAlignment="1">
      <alignment horizontal="center" vertical="center"/>
    </xf>
    <xf numFmtId="0" fontId="34" fillId="0" borderId="1" xfId="0" applyFont="1" applyBorder="1" applyAlignment="1">
      <alignment horizontal="center" vertical="center" wrapText="1"/>
    </xf>
    <xf numFmtId="0" fontId="24" fillId="0" borderId="14" xfId="0" applyFont="1" applyBorder="1" applyAlignment="1">
      <alignment horizontal="center" vertical="center"/>
    </xf>
    <xf numFmtId="0" fontId="24" fillId="37" borderId="14" xfId="0" applyFont="1" applyFill="1" applyBorder="1" applyAlignment="1">
      <alignment horizontal="center" vertical="center" wrapText="1"/>
    </xf>
    <xf numFmtId="17" fontId="24" fillId="0" borderId="14" xfId="0" quotePrefix="1" applyNumberFormat="1" applyFont="1" applyBorder="1" applyAlignment="1">
      <alignment horizontal="center" vertical="center" wrapText="1"/>
    </xf>
    <xf numFmtId="22" fontId="24" fillId="0" borderId="14" xfId="0" applyNumberFormat="1" applyFont="1" applyBorder="1" applyAlignment="1">
      <alignment horizontal="center" vertical="center" wrapText="1"/>
    </xf>
    <xf numFmtId="21" fontId="24" fillId="0" borderId="14" xfId="0" applyNumberFormat="1" applyFont="1" applyBorder="1" applyAlignment="1">
      <alignment horizontal="center" vertical="center" wrapText="1"/>
    </xf>
    <xf numFmtId="0" fontId="24" fillId="0" borderId="14" xfId="0" applyFont="1" applyBorder="1" applyAlignment="1">
      <alignment horizontal="center" vertical="center" wrapText="1"/>
    </xf>
    <xf numFmtId="0" fontId="24" fillId="0" borderId="14" xfId="0" applyFont="1" applyBorder="1" applyAlignment="1">
      <alignment horizontal="left" vertical="center" wrapText="1"/>
    </xf>
    <xf numFmtId="0" fontId="19" fillId="39" borderId="1" xfId="0" applyFont="1" applyFill="1" applyBorder="1" applyAlignment="1">
      <alignment horizontal="center" vertical="center"/>
    </xf>
    <xf numFmtId="0" fontId="24" fillId="0" borderId="1" xfId="0" applyFont="1" applyBorder="1"/>
    <xf numFmtId="0" fontId="24" fillId="0" borderId="1" xfId="0" applyFont="1" applyBorder="1" applyAlignment="1">
      <alignment horizontal="left"/>
    </xf>
    <xf numFmtId="0" fontId="24" fillId="0" borderId="1" xfId="0" applyFont="1" applyBorder="1" applyAlignment="1">
      <alignment horizontal="left" wrapText="1"/>
    </xf>
    <xf numFmtId="0" fontId="24" fillId="0" borderId="0" xfId="0" applyFont="1" applyAlignment="1">
      <alignment horizontal="center" vertical="center"/>
    </xf>
    <xf numFmtId="0" fontId="24" fillId="0" borderId="1" xfId="0" applyFont="1" applyBorder="1" applyAlignment="1">
      <alignment horizontal="left" vertical="center"/>
    </xf>
    <xf numFmtId="0" fontId="24" fillId="0" borderId="12" xfId="0" applyFont="1" applyBorder="1" applyAlignment="1">
      <alignment horizontal="left" vertical="center" wrapText="1"/>
    </xf>
    <xf numFmtId="0" fontId="25" fillId="37" borderId="14" xfId="0" applyFont="1" applyFill="1" applyBorder="1" applyAlignment="1">
      <alignment horizontal="center" vertical="center" wrapText="1"/>
    </xf>
    <xf numFmtId="0" fontId="24" fillId="0" borderId="1" xfId="0" quotePrefix="1" applyFont="1" applyBorder="1" applyAlignment="1">
      <alignment horizontal="center" vertical="center"/>
    </xf>
    <xf numFmtId="164" fontId="40" fillId="0" borderId="1" xfId="0" applyNumberFormat="1" applyFont="1" applyBorder="1" applyAlignment="1">
      <alignment horizontal="center" vertical="center" wrapText="1"/>
    </xf>
    <xf numFmtId="165" fontId="41" fillId="0" borderId="1" xfId="0" applyNumberFormat="1" applyFont="1" applyBorder="1" applyAlignment="1">
      <alignment horizontal="center" vertical="center"/>
    </xf>
    <xf numFmtId="0" fontId="24" fillId="0" borderId="1" xfId="0" applyFont="1" applyBorder="1" applyAlignment="1">
      <alignment vertical="center" wrapText="1"/>
    </xf>
    <xf numFmtId="1" fontId="42" fillId="0" borderId="1" xfId="0" applyNumberFormat="1" applyFont="1" applyBorder="1" applyAlignment="1">
      <alignment horizontal="center" vertical="center" wrapText="1"/>
    </xf>
    <xf numFmtId="46" fontId="24" fillId="0" borderId="1" xfId="0" applyNumberFormat="1" applyFont="1" applyBorder="1" applyAlignment="1">
      <alignment horizontal="center" vertical="center" wrapText="1"/>
    </xf>
    <xf numFmtId="0" fontId="19" fillId="36" borderId="1" xfId="0" applyFont="1" applyFill="1" applyBorder="1" applyAlignment="1">
      <alignment horizontal="left" vertical="center" wrapText="1"/>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cel Built-in Normal 1" xfId="1" xr:uid="{36B950B6-B4A7-46DB-BD0F-5967B252F22F}"/>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2" xfId="43" xr:uid="{FAF52353-990A-44C9-BDF9-72B7149793A9}"/>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24">
    <dxf>
      <fill>
        <patternFill>
          <bgColor rgb="FFFFC000"/>
        </patternFill>
      </fill>
    </dxf>
    <dxf>
      <fill>
        <patternFill>
          <bgColor rgb="FFFF0000"/>
        </patternFill>
      </fill>
    </dxf>
    <dxf>
      <fill>
        <patternFill>
          <bgColor rgb="FFFFC000"/>
        </patternFill>
      </fill>
    </dxf>
    <dxf>
      <font>
        <color theme="1"/>
      </font>
      <fill>
        <patternFill>
          <bgColor theme="7"/>
        </patternFill>
      </fill>
    </dxf>
    <dxf>
      <fill>
        <patternFill>
          <bgColor rgb="FFFF0000"/>
        </patternFill>
      </fill>
    </dxf>
    <dxf>
      <fill>
        <patternFill>
          <bgColor rgb="FFFFC000"/>
        </patternFill>
      </fill>
    </dxf>
    <dxf>
      <font>
        <color theme="1"/>
      </font>
      <fill>
        <patternFill>
          <bgColor theme="7"/>
        </patternFill>
      </fill>
    </dxf>
    <dxf>
      <fill>
        <patternFill>
          <bgColor rgb="FFFF0000"/>
        </patternFill>
      </fill>
    </dxf>
    <dxf>
      <fill>
        <patternFill>
          <bgColor rgb="FFFFC000"/>
        </patternFill>
      </fill>
    </dxf>
    <dxf>
      <font>
        <color theme="1"/>
      </font>
      <fill>
        <patternFill>
          <bgColor theme="7"/>
        </patternFill>
      </fill>
    </dxf>
    <dxf>
      <fill>
        <patternFill>
          <bgColor rgb="FFFF0000"/>
        </patternFill>
      </fill>
    </dxf>
    <dxf>
      <fill>
        <patternFill>
          <bgColor rgb="FFFFC000"/>
        </patternFill>
      </fill>
    </dxf>
    <dxf>
      <font>
        <color theme="1"/>
      </font>
      <fill>
        <patternFill>
          <bgColor theme="7"/>
        </patternFill>
      </fill>
    </dxf>
    <dxf>
      <fill>
        <patternFill>
          <bgColor rgb="FFFF0000"/>
        </patternFill>
      </fill>
    </dxf>
    <dxf>
      <fill>
        <patternFill>
          <bgColor rgb="FFFFC000"/>
        </patternFill>
      </fill>
    </dxf>
    <dxf>
      <font>
        <color theme="0"/>
      </font>
      <fill>
        <patternFill>
          <bgColor rgb="FFFF0000"/>
        </patternFill>
      </fill>
    </dxf>
    <dxf>
      <font>
        <color theme="1"/>
      </font>
      <fill>
        <patternFill>
          <bgColor theme="7"/>
        </patternFill>
      </fill>
    </dxf>
    <dxf>
      <fill>
        <patternFill>
          <bgColor rgb="FFFF0000"/>
        </patternFill>
      </fill>
    </dxf>
    <dxf>
      <font>
        <color theme="1"/>
      </font>
      <fill>
        <patternFill>
          <bgColor rgb="FFFFFF00"/>
        </patternFill>
      </fill>
    </dxf>
    <dxf>
      <font>
        <color theme="0"/>
      </font>
      <fill>
        <patternFill>
          <bgColor rgb="FFFF0000"/>
        </patternFill>
      </fill>
    </dxf>
    <dxf>
      <font>
        <color theme="1"/>
      </font>
      <fill>
        <patternFill>
          <bgColor theme="7"/>
        </patternFill>
      </fill>
    </dxf>
    <dxf>
      <fill>
        <patternFill>
          <bgColor rgb="FFFF0000"/>
        </patternFill>
      </fill>
    </dxf>
    <dxf>
      <fill>
        <patternFill>
          <bgColor rgb="FFFFC000"/>
        </patternFill>
      </fill>
    </dxf>
    <dxf>
      <font>
        <color theme="1"/>
      </font>
      <fill>
        <patternFill>
          <bgColor rgb="FFFFFF00"/>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C0412-348B-4BA3-8FE3-741C3C2F8202}">
  <sheetPr codeName="Sheet1"/>
  <dimension ref="A1:P244"/>
  <sheetViews>
    <sheetView tabSelected="1" zoomScale="85" zoomScaleNormal="85" workbookViewId="0">
      <pane ySplit="1" topLeftCell="A203" activePane="bottomLeft" state="frozen"/>
      <selection pane="bottomLeft" activeCell="A206" sqref="A206:XFD206"/>
    </sheetView>
  </sheetViews>
  <sheetFormatPr defaultColWidth="8.90625" defaultRowHeight="12" x14ac:dyDescent="0.3"/>
  <cols>
    <col min="1" max="1" width="5.08984375" style="11" customWidth="1"/>
    <col min="2" max="2" width="9.1796875" style="11" customWidth="1"/>
    <col min="3" max="3" width="8.90625" style="11" customWidth="1"/>
    <col min="4" max="4" width="24.54296875" style="11" customWidth="1"/>
    <col min="5" max="5" width="17.6328125" style="11" customWidth="1"/>
    <col min="6" max="6" width="10.81640625" style="11" customWidth="1"/>
    <col min="7" max="7" width="6" style="85" customWidth="1"/>
    <col min="8" max="8" width="25.81640625" style="11" customWidth="1"/>
    <col min="9" max="9" width="64.90625" style="31" customWidth="1"/>
    <col min="10" max="11" width="8.90625" style="11" customWidth="1"/>
    <col min="12" max="12" width="34.08984375" style="85" hidden="1" customWidth="1"/>
    <col min="13" max="13" width="13.08984375" style="11" hidden="1" customWidth="1"/>
    <col min="14" max="14" width="16.453125" style="11" hidden="1" customWidth="1"/>
    <col min="15" max="15" width="42.90625" style="31" customWidth="1"/>
    <col min="16" max="16384" width="8.90625" style="11"/>
  </cols>
  <sheetData>
    <row r="1" spans="1:15" ht="36" x14ac:dyDescent="0.3">
      <c r="A1" s="8" t="s">
        <v>0</v>
      </c>
      <c r="B1" s="9" t="s">
        <v>1</v>
      </c>
      <c r="C1" s="9" t="s">
        <v>2</v>
      </c>
      <c r="D1" s="10" t="s">
        <v>3</v>
      </c>
      <c r="E1" s="8" t="s">
        <v>4</v>
      </c>
      <c r="F1" s="9" t="s">
        <v>5</v>
      </c>
      <c r="G1" s="9" t="s">
        <v>1461</v>
      </c>
      <c r="H1" s="10" t="s">
        <v>7</v>
      </c>
      <c r="I1" s="8" t="s">
        <v>8</v>
      </c>
      <c r="J1" s="9" t="s">
        <v>9</v>
      </c>
      <c r="K1" s="9" t="s">
        <v>10</v>
      </c>
      <c r="L1" s="10" t="s">
        <v>11</v>
      </c>
      <c r="M1" s="8" t="s">
        <v>12</v>
      </c>
      <c r="N1" s="9" t="s">
        <v>13</v>
      </c>
      <c r="O1" s="9" t="s">
        <v>14</v>
      </c>
    </row>
    <row r="2" spans="1:15" ht="60" x14ac:dyDescent="0.3">
      <c r="A2" s="12">
        <v>1</v>
      </c>
      <c r="B2" s="16" t="s">
        <v>15</v>
      </c>
      <c r="C2" s="12" t="s">
        <v>16</v>
      </c>
      <c r="D2" s="12" t="s">
        <v>17</v>
      </c>
      <c r="E2" s="12" t="s">
        <v>18</v>
      </c>
      <c r="F2" s="13">
        <v>2.6388888888888885E-3</v>
      </c>
      <c r="G2" s="12">
        <v>4</v>
      </c>
      <c r="H2" s="12" t="s">
        <v>19</v>
      </c>
      <c r="I2" s="29" t="s">
        <v>20</v>
      </c>
      <c r="J2" s="12" t="s">
        <v>21</v>
      </c>
      <c r="K2" s="12" t="s">
        <v>22</v>
      </c>
      <c r="L2" s="12"/>
      <c r="M2" s="12"/>
      <c r="N2" s="12"/>
      <c r="O2" s="12"/>
    </row>
    <row r="3" spans="1:15" ht="36" x14ac:dyDescent="0.3">
      <c r="A3" s="12">
        <v>2</v>
      </c>
      <c r="B3" s="12" t="s">
        <v>23</v>
      </c>
      <c r="C3" s="12" t="s">
        <v>16</v>
      </c>
      <c r="D3" s="12" t="s">
        <v>24</v>
      </c>
      <c r="E3" s="12" t="s">
        <v>25</v>
      </c>
      <c r="F3" s="13">
        <v>0.1451388888888889</v>
      </c>
      <c r="G3" s="12">
        <v>209</v>
      </c>
      <c r="H3" s="12" t="s">
        <v>26</v>
      </c>
      <c r="I3" s="29" t="s">
        <v>27</v>
      </c>
      <c r="J3" s="12" t="s">
        <v>28</v>
      </c>
      <c r="K3" s="12" t="s">
        <v>22</v>
      </c>
      <c r="L3" s="12"/>
      <c r="M3" s="12"/>
      <c r="N3" s="12"/>
      <c r="O3" s="12" t="s">
        <v>29</v>
      </c>
    </row>
    <row r="4" spans="1:15" ht="60" x14ac:dyDescent="0.3">
      <c r="A4" s="12">
        <v>3</v>
      </c>
      <c r="B4" s="12" t="s">
        <v>23</v>
      </c>
      <c r="C4" s="12" t="s">
        <v>16</v>
      </c>
      <c r="D4" s="12" t="s">
        <v>30</v>
      </c>
      <c r="E4" s="12" t="s">
        <v>31</v>
      </c>
      <c r="F4" s="13">
        <v>6.9444444444444441E-3</v>
      </c>
      <c r="G4" s="12">
        <v>10</v>
      </c>
      <c r="H4" s="12" t="s">
        <v>1433</v>
      </c>
      <c r="I4" s="29" t="s">
        <v>32</v>
      </c>
      <c r="J4" s="12" t="s">
        <v>21</v>
      </c>
      <c r="K4" s="12" t="s">
        <v>33</v>
      </c>
      <c r="L4" s="12" t="s">
        <v>34</v>
      </c>
      <c r="M4" s="12"/>
      <c r="N4" s="12"/>
      <c r="O4" s="12" t="s">
        <v>35</v>
      </c>
    </row>
    <row r="5" spans="1:15" ht="36" x14ac:dyDescent="0.3">
      <c r="A5" s="12">
        <v>4</v>
      </c>
      <c r="B5" s="12" t="s">
        <v>36</v>
      </c>
      <c r="C5" s="12" t="s">
        <v>16</v>
      </c>
      <c r="D5" s="12" t="s">
        <v>37</v>
      </c>
      <c r="E5" s="12" t="s">
        <v>38</v>
      </c>
      <c r="F5" s="13">
        <v>3.5914351851851857E-2</v>
      </c>
      <c r="G5" s="12">
        <v>52</v>
      </c>
      <c r="H5" s="12" t="s">
        <v>39</v>
      </c>
      <c r="I5" s="29" t="s">
        <v>40</v>
      </c>
      <c r="J5" s="12" t="s">
        <v>21</v>
      </c>
      <c r="K5" s="12" t="s">
        <v>33</v>
      </c>
      <c r="L5" s="12"/>
      <c r="M5" s="12"/>
      <c r="N5" s="12"/>
      <c r="O5" s="12" t="s">
        <v>41</v>
      </c>
    </row>
    <row r="6" spans="1:15" ht="24" x14ac:dyDescent="0.3">
      <c r="A6" s="12">
        <v>5</v>
      </c>
      <c r="B6" s="16" t="s">
        <v>15</v>
      </c>
      <c r="C6" s="12" t="s">
        <v>16</v>
      </c>
      <c r="D6" s="12" t="s">
        <v>42</v>
      </c>
      <c r="E6" s="12" t="s">
        <v>43</v>
      </c>
      <c r="F6" s="13">
        <v>1.8518518518518518E-4</v>
      </c>
      <c r="G6" s="12">
        <v>0</v>
      </c>
      <c r="H6" s="12" t="s">
        <v>44</v>
      </c>
      <c r="I6" s="29" t="s">
        <v>45</v>
      </c>
      <c r="J6" s="12" t="s">
        <v>21</v>
      </c>
      <c r="K6" s="12" t="s">
        <v>22</v>
      </c>
      <c r="L6" s="12"/>
      <c r="M6" s="12"/>
      <c r="N6" s="14"/>
      <c r="O6" s="14" t="s">
        <v>46</v>
      </c>
    </row>
    <row r="7" spans="1:15" ht="60" x14ac:dyDescent="0.3">
      <c r="A7" s="12">
        <v>6</v>
      </c>
      <c r="B7" s="12" t="s">
        <v>23</v>
      </c>
      <c r="C7" s="12" t="s">
        <v>16</v>
      </c>
      <c r="D7" s="12" t="s">
        <v>47</v>
      </c>
      <c r="E7" s="12" t="s">
        <v>48</v>
      </c>
      <c r="F7" s="13" t="s">
        <v>49</v>
      </c>
      <c r="G7" s="12">
        <v>12</v>
      </c>
      <c r="H7" s="12" t="s">
        <v>50</v>
      </c>
      <c r="I7" s="29" t="s">
        <v>51</v>
      </c>
      <c r="J7" s="12" t="s">
        <v>52</v>
      </c>
      <c r="K7" s="12" t="s">
        <v>33</v>
      </c>
      <c r="L7" s="12"/>
      <c r="M7" s="12"/>
      <c r="N7" s="12"/>
      <c r="O7" s="12" t="s">
        <v>53</v>
      </c>
    </row>
    <row r="8" spans="1:15" ht="36" x14ac:dyDescent="0.3">
      <c r="A8" s="12">
        <v>7</v>
      </c>
      <c r="B8" s="12" t="s">
        <v>23</v>
      </c>
      <c r="C8" s="12" t="s">
        <v>16</v>
      </c>
      <c r="D8" s="12" t="s">
        <v>54</v>
      </c>
      <c r="E8" s="12" t="s">
        <v>55</v>
      </c>
      <c r="F8" s="13">
        <v>2.0717592592592593E-3</v>
      </c>
      <c r="G8" s="12">
        <v>3</v>
      </c>
      <c r="H8" s="12" t="s">
        <v>56</v>
      </c>
      <c r="I8" s="29" t="s">
        <v>57</v>
      </c>
      <c r="J8" s="12" t="s">
        <v>21</v>
      </c>
      <c r="K8" s="12" t="s">
        <v>33</v>
      </c>
      <c r="L8" s="12"/>
      <c r="M8" s="12"/>
      <c r="N8" s="12"/>
      <c r="O8" s="12" t="s">
        <v>58</v>
      </c>
    </row>
    <row r="9" spans="1:15" ht="84" x14ac:dyDescent="0.3">
      <c r="A9" s="12">
        <v>8</v>
      </c>
      <c r="B9" s="12" t="s">
        <v>23</v>
      </c>
      <c r="C9" s="12" t="s">
        <v>16</v>
      </c>
      <c r="D9" s="12" t="s">
        <v>59</v>
      </c>
      <c r="E9" s="12" t="s">
        <v>60</v>
      </c>
      <c r="F9" s="13">
        <v>6.9444444444444447E-4</v>
      </c>
      <c r="G9" s="12">
        <v>1</v>
      </c>
      <c r="H9" s="12" t="s">
        <v>61</v>
      </c>
      <c r="I9" s="29" t="s">
        <v>62</v>
      </c>
      <c r="J9" s="12" t="s">
        <v>21</v>
      </c>
      <c r="K9" s="12" t="s">
        <v>33</v>
      </c>
      <c r="L9" s="12"/>
      <c r="M9" s="12"/>
      <c r="N9" s="12"/>
      <c r="O9" s="12" t="s">
        <v>63</v>
      </c>
    </row>
    <row r="10" spans="1:15" ht="84" x14ac:dyDescent="0.3">
      <c r="A10" s="12">
        <v>9</v>
      </c>
      <c r="B10" s="12" t="s">
        <v>23</v>
      </c>
      <c r="C10" s="12" t="s">
        <v>16</v>
      </c>
      <c r="D10" s="12" t="s">
        <v>59</v>
      </c>
      <c r="E10" s="12" t="s">
        <v>64</v>
      </c>
      <c r="F10" s="13">
        <v>2.0833333333333333E-3</v>
      </c>
      <c r="G10" s="12">
        <v>3</v>
      </c>
      <c r="H10" s="12" t="s">
        <v>65</v>
      </c>
      <c r="I10" s="29" t="s">
        <v>62</v>
      </c>
      <c r="J10" s="12" t="s">
        <v>21</v>
      </c>
      <c r="K10" s="12" t="s">
        <v>33</v>
      </c>
      <c r="L10" s="12"/>
      <c r="M10" s="12"/>
      <c r="N10" s="12"/>
      <c r="O10" s="12" t="s">
        <v>66</v>
      </c>
    </row>
    <row r="11" spans="1:15" ht="84" x14ac:dyDescent="0.3">
      <c r="A11" s="12">
        <v>10</v>
      </c>
      <c r="B11" s="12" t="s">
        <v>23</v>
      </c>
      <c r="C11" s="12" t="s">
        <v>16</v>
      </c>
      <c r="D11" s="12" t="s">
        <v>59</v>
      </c>
      <c r="E11" s="12" t="s">
        <v>67</v>
      </c>
      <c r="F11" s="13">
        <v>4.8611111111111112E-3</v>
      </c>
      <c r="G11" s="12">
        <v>7</v>
      </c>
      <c r="H11" s="12" t="s">
        <v>68</v>
      </c>
      <c r="I11" s="29" t="s">
        <v>62</v>
      </c>
      <c r="J11" s="12" t="s">
        <v>21</v>
      </c>
      <c r="K11" s="12" t="s">
        <v>33</v>
      </c>
      <c r="L11" s="12"/>
      <c r="M11" s="12"/>
      <c r="N11" s="12"/>
      <c r="O11" s="12" t="s">
        <v>69</v>
      </c>
    </row>
    <row r="12" spans="1:15" ht="48" x14ac:dyDescent="0.3">
      <c r="A12" s="12">
        <v>11</v>
      </c>
      <c r="B12" s="12" t="s">
        <v>23</v>
      </c>
      <c r="C12" s="12" t="s">
        <v>16</v>
      </c>
      <c r="D12" s="12" t="s">
        <v>59</v>
      </c>
      <c r="E12" s="12" t="s">
        <v>70</v>
      </c>
      <c r="F12" s="13">
        <v>3.4027777777777775E-2</v>
      </c>
      <c r="G12" s="12">
        <v>49</v>
      </c>
      <c r="H12" s="12" t="s">
        <v>71</v>
      </c>
      <c r="I12" s="30" t="s">
        <v>72</v>
      </c>
      <c r="J12" s="12" t="s">
        <v>21</v>
      </c>
      <c r="K12" s="12" t="s">
        <v>33</v>
      </c>
      <c r="L12" s="12"/>
      <c r="M12" s="12"/>
      <c r="N12" s="12"/>
      <c r="O12" s="15" t="s">
        <v>73</v>
      </c>
    </row>
    <row r="13" spans="1:15" ht="96" x14ac:dyDescent="0.3">
      <c r="A13" s="12">
        <v>12</v>
      </c>
      <c r="B13" s="16" t="s">
        <v>15</v>
      </c>
      <c r="C13" s="12" t="s">
        <v>16</v>
      </c>
      <c r="D13" s="12" t="s">
        <v>74</v>
      </c>
      <c r="E13" s="12" t="s">
        <v>75</v>
      </c>
      <c r="F13" s="13">
        <v>8.6111111111111124E-2</v>
      </c>
      <c r="G13" s="12">
        <v>124</v>
      </c>
      <c r="H13" s="12" t="s">
        <v>1434</v>
      </c>
      <c r="I13" s="29" t="s">
        <v>76</v>
      </c>
      <c r="J13" s="12" t="s">
        <v>21</v>
      </c>
      <c r="K13" s="12" t="s">
        <v>33</v>
      </c>
      <c r="L13" s="12"/>
      <c r="M13" s="12"/>
      <c r="N13" s="12"/>
      <c r="O13" s="12"/>
    </row>
    <row r="14" spans="1:15" ht="36" x14ac:dyDescent="0.3">
      <c r="A14" s="12">
        <v>13</v>
      </c>
      <c r="B14" s="12" t="s">
        <v>23</v>
      </c>
      <c r="C14" s="12" t="s">
        <v>16</v>
      </c>
      <c r="D14" s="12" t="s">
        <v>77</v>
      </c>
      <c r="E14" s="12" t="s">
        <v>78</v>
      </c>
      <c r="F14" s="13">
        <v>1.3541666666666667E-3</v>
      </c>
      <c r="G14" s="12">
        <v>2</v>
      </c>
      <c r="H14" s="12" t="s">
        <v>79</v>
      </c>
      <c r="I14" s="30" t="s">
        <v>80</v>
      </c>
      <c r="J14" s="12" t="s">
        <v>21</v>
      </c>
      <c r="K14" s="12" t="s">
        <v>33</v>
      </c>
      <c r="L14" s="12"/>
      <c r="M14" s="12"/>
      <c r="N14" s="12"/>
      <c r="O14" s="15" t="s">
        <v>81</v>
      </c>
    </row>
    <row r="15" spans="1:15" ht="24" x14ac:dyDescent="0.3">
      <c r="A15" s="12">
        <v>14</v>
      </c>
      <c r="B15" s="16" t="s">
        <v>15</v>
      </c>
      <c r="C15" s="12" t="s">
        <v>16</v>
      </c>
      <c r="D15" s="12" t="s">
        <v>82</v>
      </c>
      <c r="E15" s="12" t="s">
        <v>83</v>
      </c>
      <c r="F15" s="13">
        <v>2.3148148148148146E-4</v>
      </c>
      <c r="G15" s="12">
        <v>0</v>
      </c>
      <c r="H15" s="12" t="s">
        <v>84</v>
      </c>
      <c r="I15" s="29" t="s">
        <v>85</v>
      </c>
      <c r="J15" s="12" t="s">
        <v>21</v>
      </c>
      <c r="K15" s="12" t="s">
        <v>22</v>
      </c>
      <c r="L15" s="12"/>
      <c r="M15" s="12"/>
      <c r="N15" s="12"/>
      <c r="O15" s="12"/>
    </row>
    <row r="16" spans="1:15" ht="36" x14ac:dyDescent="0.3">
      <c r="A16" s="12">
        <v>15</v>
      </c>
      <c r="B16" s="12" t="s">
        <v>23</v>
      </c>
      <c r="C16" s="12" t="s">
        <v>16</v>
      </c>
      <c r="D16" s="12" t="s">
        <v>86</v>
      </c>
      <c r="E16" s="12" t="s">
        <v>87</v>
      </c>
      <c r="F16" s="13">
        <v>3.7731481481481483E-3</v>
      </c>
      <c r="G16" s="12">
        <v>5</v>
      </c>
      <c r="H16" s="12" t="s">
        <v>88</v>
      </c>
      <c r="I16" s="29" t="s">
        <v>89</v>
      </c>
      <c r="J16" s="12" t="s">
        <v>21</v>
      </c>
      <c r="K16" s="12" t="s">
        <v>33</v>
      </c>
      <c r="L16" s="12"/>
      <c r="M16" s="12"/>
      <c r="N16" s="12"/>
      <c r="O16" s="12" t="s">
        <v>90</v>
      </c>
    </row>
    <row r="17" spans="1:15" ht="72" x14ac:dyDescent="0.3">
      <c r="A17" s="12">
        <v>16</v>
      </c>
      <c r="B17" s="12" t="s">
        <v>36</v>
      </c>
      <c r="C17" s="12" t="s">
        <v>16</v>
      </c>
      <c r="D17" s="12" t="s">
        <v>91</v>
      </c>
      <c r="E17" s="12" t="s">
        <v>92</v>
      </c>
      <c r="F17" s="13">
        <v>0.16041666666666668</v>
      </c>
      <c r="G17" s="12">
        <v>231</v>
      </c>
      <c r="H17" s="12" t="s">
        <v>93</v>
      </c>
      <c r="I17" s="29" t="s">
        <v>94</v>
      </c>
      <c r="J17" s="12" t="s">
        <v>95</v>
      </c>
      <c r="K17" s="12" t="s">
        <v>33</v>
      </c>
      <c r="L17" s="12"/>
      <c r="M17" s="12"/>
      <c r="N17" s="12"/>
      <c r="O17" s="12" t="s">
        <v>96</v>
      </c>
    </row>
    <row r="18" spans="1:15" ht="48" x14ac:dyDescent="0.3">
      <c r="A18" s="12">
        <v>17</v>
      </c>
      <c r="B18" s="16" t="s">
        <v>15</v>
      </c>
      <c r="C18" s="12" t="s">
        <v>16</v>
      </c>
      <c r="D18" s="12" t="s">
        <v>97</v>
      </c>
      <c r="E18" s="12" t="s">
        <v>98</v>
      </c>
      <c r="F18" s="13" t="s">
        <v>99</v>
      </c>
      <c r="G18" s="12">
        <v>38</v>
      </c>
      <c r="H18" s="12" t="s">
        <v>100</v>
      </c>
      <c r="I18" s="29" t="s">
        <v>101</v>
      </c>
      <c r="J18" s="12" t="s">
        <v>28</v>
      </c>
      <c r="K18" s="12" t="s">
        <v>22</v>
      </c>
      <c r="L18" s="12"/>
      <c r="M18" s="12"/>
      <c r="N18" s="12"/>
      <c r="O18" s="12" t="s">
        <v>102</v>
      </c>
    </row>
    <row r="19" spans="1:15" ht="48" x14ac:dyDescent="0.3">
      <c r="A19" s="12">
        <v>18</v>
      </c>
      <c r="B19" s="16" t="s">
        <v>15</v>
      </c>
      <c r="C19" s="12" t="s">
        <v>16</v>
      </c>
      <c r="D19" s="12" t="s">
        <v>103</v>
      </c>
      <c r="E19" s="12" t="s">
        <v>104</v>
      </c>
      <c r="F19" s="13">
        <v>4.8611111111111112E-3</v>
      </c>
      <c r="G19" s="12">
        <v>7</v>
      </c>
      <c r="H19" s="12" t="s">
        <v>105</v>
      </c>
      <c r="I19" s="29" t="s">
        <v>106</v>
      </c>
      <c r="J19" s="12" t="s">
        <v>28</v>
      </c>
      <c r="K19" s="12" t="s">
        <v>22</v>
      </c>
      <c r="L19" s="12"/>
      <c r="M19" s="12"/>
      <c r="N19" s="12"/>
      <c r="O19" s="12" t="s">
        <v>107</v>
      </c>
    </row>
    <row r="20" spans="1:15" ht="24" x14ac:dyDescent="0.3">
      <c r="A20" s="12">
        <v>19</v>
      </c>
      <c r="B20" s="12" t="s">
        <v>36</v>
      </c>
      <c r="C20" s="12" t="s">
        <v>16</v>
      </c>
      <c r="D20" s="12" t="s">
        <v>108</v>
      </c>
      <c r="E20" s="12" t="s">
        <v>109</v>
      </c>
      <c r="F20" s="13">
        <v>2.361111111111111E-2</v>
      </c>
      <c r="G20" s="12">
        <v>34</v>
      </c>
      <c r="H20" s="12" t="s">
        <v>1297</v>
      </c>
      <c r="I20" s="29" t="s">
        <v>110</v>
      </c>
      <c r="J20" s="12" t="s">
        <v>21</v>
      </c>
      <c r="K20" s="12" t="s">
        <v>33</v>
      </c>
      <c r="L20" s="12"/>
      <c r="M20" s="12"/>
      <c r="N20" s="12"/>
      <c r="O20" s="12" t="s">
        <v>111</v>
      </c>
    </row>
    <row r="21" spans="1:15" ht="48" x14ac:dyDescent="0.3">
      <c r="A21" s="12">
        <v>20</v>
      </c>
      <c r="B21" s="16" t="s">
        <v>15</v>
      </c>
      <c r="C21" s="12" t="s">
        <v>16</v>
      </c>
      <c r="D21" s="12" t="s">
        <v>112</v>
      </c>
      <c r="E21" s="12" t="s">
        <v>113</v>
      </c>
      <c r="F21" s="13">
        <v>3.1944444444444449E-2</v>
      </c>
      <c r="G21" s="12">
        <v>46</v>
      </c>
      <c r="H21" s="12" t="s">
        <v>105</v>
      </c>
      <c r="I21" s="29" t="s">
        <v>114</v>
      </c>
      <c r="J21" s="12" t="s">
        <v>28</v>
      </c>
      <c r="K21" s="12" t="s">
        <v>22</v>
      </c>
      <c r="L21" s="12"/>
      <c r="M21" s="12"/>
      <c r="N21" s="12"/>
      <c r="O21" s="12" t="s">
        <v>115</v>
      </c>
    </row>
    <row r="22" spans="1:15" ht="48" x14ac:dyDescent="0.3">
      <c r="A22" s="12">
        <v>21</v>
      </c>
      <c r="B22" s="16" t="s">
        <v>15</v>
      </c>
      <c r="C22" s="12" t="s">
        <v>16</v>
      </c>
      <c r="D22" s="12" t="s">
        <v>116</v>
      </c>
      <c r="E22" s="12" t="s">
        <v>117</v>
      </c>
      <c r="F22" s="13">
        <v>3.1944444444444449E-2</v>
      </c>
      <c r="G22" s="12">
        <v>46</v>
      </c>
      <c r="H22" s="12" t="s">
        <v>118</v>
      </c>
      <c r="I22" s="29" t="s">
        <v>119</v>
      </c>
      <c r="J22" s="12" t="s">
        <v>28</v>
      </c>
      <c r="K22" s="12" t="s">
        <v>22</v>
      </c>
      <c r="L22" s="12"/>
      <c r="M22" s="12"/>
      <c r="N22" s="12"/>
      <c r="O22" s="12" t="s">
        <v>120</v>
      </c>
    </row>
    <row r="23" spans="1:15" ht="48" x14ac:dyDescent="0.3">
      <c r="A23" s="12">
        <v>22</v>
      </c>
      <c r="B23" s="16" t="s">
        <v>15</v>
      </c>
      <c r="C23" s="12" t="s">
        <v>16</v>
      </c>
      <c r="D23" s="12" t="s">
        <v>121</v>
      </c>
      <c r="E23" s="12" t="s">
        <v>122</v>
      </c>
      <c r="F23" s="13">
        <v>3.4722222222222224E-2</v>
      </c>
      <c r="G23" s="12">
        <v>50</v>
      </c>
      <c r="H23" s="12" t="s">
        <v>123</v>
      </c>
      <c r="I23" s="29" t="s">
        <v>124</v>
      </c>
      <c r="J23" s="12" t="s">
        <v>28</v>
      </c>
      <c r="K23" s="12" t="s">
        <v>22</v>
      </c>
      <c r="L23" s="12"/>
      <c r="M23" s="12"/>
      <c r="N23" s="12"/>
      <c r="O23" s="12" t="s">
        <v>125</v>
      </c>
    </row>
    <row r="24" spans="1:15" ht="24" x14ac:dyDescent="0.3">
      <c r="A24" s="12">
        <v>23</v>
      </c>
      <c r="B24" s="16" t="s">
        <v>36</v>
      </c>
      <c r="C24" s="12" t="s">
        <v>16</v>
      </c>
      <c r="D24" s="12" t="s">
        <v>126</v>
      </c>
      <c r="E24" s="12" t="s">
        <v>127</v>
      </c>
      <c r="F24" s="13">
        <v>0.36875000000145519</v>
      </c>
      <c r="G24" s="12">
        <v>531</v>
      </c>
      <c r="H24" s="12" t="s">
        <v>1281</v>
      </c>
      <c r="I24" s="29" t="s">
        <v>128</v>
      </c>
      <c r="J24" s="12" t="s">
        <v>28</v>
      </c>
      <c r="K24" s="12" t="s">
        <v>33</v>
      </c>
      <c r="L24" s="12"/>
      <c r="M24" s="12"/>
      <c r="N24" s="12"/>
      <c r="O24" s="12" t="s">
        <v>111</v>
      </c>
    </row>
    <row r="25" spans="1:15" ht="24" x14ac:dyDescent="0.3">
      <c r="A25" s="12">
        <v>24</v>
      </c>
      <c r="B25" s="12" t="s">
        <v>23</v>
      </c>
      <c r="C25" s="12" t="s">
        <v>16</v>
      </c>
      <c r="D25" s="12" t="s">
        <v>129</v>
      </c>
      <c r="E25" s="12" t="s">
        <v>130</v>
      </c>
      <c r="F25" s="13">
        <v>3.7731481481481483E-3</v>
      </c>
      <c r="G25" s="12">
        <v>5</v>
      </c>
      <c r="H25" s="12" t="s">
        <v>1299</v>
      </c>
      <c r="I25" s="29" t="s">
        <v>131</v>
      </c>
      <c r="J25" s="12" t="s">
        <v>21</v>
      </c>
      <c r="K25" s="12" t="s">
        <v>33</v>
      </c>
      <c r="L25" s="12"/>
      <c r="M25" s="12"/>
      <c r="N25" s="12"/>
      <c r="O25" s="12" t="s">
        <v>132</v>
      </c>
    </row>
    <row r="26" spans="1:15" ht="60" x14ac:dyDescent="0.3">
      <c r="A26" s="12">
        <v>25</v>
      </c>
      <c r="B26" s="12" t="s">
        <v>23</v>
      </c>
      <c r="C26" s="12" t="s">
        <v>16</v>
      </c>
      <c r="D26" s="12" t="s">
        <v>133</v>
      </c>
      <c r="E26" s="12" t="s">
        <v>134</v>
      </c>
      <c r="F26" s="13">
        <v>1.6087962962962963E-3</v>
      </c>
      <c r="G26" s="12">
        <v>2</v>
      </c>
      <c r="H26" s="12" t="s">
        <v>1300</v>
      </c>
      <c r="I26" s="29" t="s">
        <v>135</v>
      </c>
      <c r="J26" s="12" t="s">
        <v>21</v>
      </c>
      <c r="K26" s="12" t="s">
        <v>33</v>
      </c>
      <c r="L26" s="12"/>
      <c r="M26" s="12"/>
      <c r="N26" s="12"/>
      <c r="O26" s="12" t="s">
        <v>136</v>
      </c>
    </row>
    <row r="27" spans="1:15" ht="48" x14ac:dyDescent="0.3">
      <c r="A27" s="12">
        <v>26</v>
      </c>
      <c r="B27" s="12" t="s">
        <v>23</v>
      </c>
      <c r="C27" s="12" t="s">
        <v>16</v>
      </c>
      <c r="D27" s="12" t="s">
        <v>137</v>
      </c>
      <c r="E27" s="12" t="s">
        <v>138</v>
      </c>
      <c r="F27" s="13">
        <v>3.5185185185185185E-3</v>
      </c>
      <c r="G27" s="12">
        <v>5</v>
      </c>
      <c r="H27" s="12" t="s">
        <v>139</v>
      </c>
      <c r="I27" s="29" t="s">
        <v>140</v>
      </c>
      <c r="J27" s="12" t="s">
        <v>141</v>
      </c>
      <c r="K27" s="12" t="s">
        <v>33</v>
      </c>
      <c r="L27" s="12" t="s">
        <v>142</v>
      </c>
      <c r="M27" s="12"/>
      <c r="N27" s="12"/>
      <c r="O27" s="12" t="s">
        <v>143</v>
      </c>
    </row>
    <row r="28" spans="1:15" ht="24" x14ac:dyDescent="0.3">
      <c r="A28" s="12">
        <v>27</v>
      </c>
      <c r="B28" s="16" t="s">
        <v>15</v>
      </c>
      <c r="C28" s="12" t="s">
        <v>16</v>
      </c>
      <c r="D28" s="12" t="s">
        <v>144</v>
      </c>
      <c r="E28" s="12" t="s">
        <v>145</v>
      </c>
      <c r="F28" s="13">
        <v>6.5277777777777782E-2</v>
      </c>
      <c r="G28" s="12">
        <v>94</v>
      </c>
      <c r="H28" s="12" t="s">
        <v>146</v>
      </c>
      <c r="I28" s="29" t="s">
        <v>147</v>
      </c>
      <c r="J28" s="12" t="s">
        <v>148</v>
      </c>
      <c r="K28" s="12" t="s">
        <v>33</v>
      </c>
      <c r="L28" s="12"/>
      <c r="M28" s="12"/>
      <c r="N28" s="12"/>
      <c r="O28" s="12" t="s">
        <v>149</v>
      </c>
    </row>
    <row r="29" spans="1:15" ht="24" x14ac:dyDescent="0.3">
      <c r="A29" s="12">
        <v>28</v>
      </c>
      <c r="B29" s="16" t="s">
        <v>15</v>
      </c>
      <c r="C29" s="12" t="s">
        <v>16</v>
      </c>
      <c r="D29" s="12" t="s">
        <v>150</v>
      </c>
      <c r="E29" s="12" t="s">
        <v>151</v>
      </c>
      <c r="F29" s="13">
        <v>2.9861111111111113E-2</v>
      </c>
      <c r="G29" s="12">
        <v>43</v>
      </c>
      <c r="H29" s="12" t="s">
        <v>152</v>
      </c>
      <c r="I29" s="29" t="s">
        <v>153</v>
      </c>
      <c r="J29" s="12" t="s">
        <v>148</v>
      </c>
      <c r="K29" s="12" t="s">
        <v>33</v>
      </c>
      <c r="L29" s="12"/>
      <c r="M29" s="12"/>
      <c r="N29" s="12"/>
      <c r="O29" s="12" t="s">
        <v>154</v>
      </c>
    </row>
    <row r="30" spans="1:15" ht="24" x14ac:dyDescent="0.3">
      <c r="A30" s="12">
        <v>29</v>
      </c>
      <c r="B30" s="16" t="s">
        <v>15</v>
      </c>
      <c r="C30" s="12" t="s">
        <v>16</v>
      </c>
      <c r="D30" s="12" t="s">
        <v>155</v>
      </c>
      <c r="E30" s="12" t="s">
        <v>156</v>
      </c>
      <c r="F30" s="13">
        <v>4.8611111111111112E-2</v>
      </c>
      <c r="G30" s="12">
        <v>70</v>
      </c>
      <c r="H30" s="12" t="s">
        <v>44</v>
      </c>
      <c r="I30" s="29" t="s">
        <v>157</v>
      </c>
      <c r="J30" s="12" t="s">
        <v>21</v>
      </c>
      <c r="K30" s="12" t="s">
        <v>22</v>
      </c>
      <c r="L30" s="12"/>
      <c r="M30" s="12"/>
      <c r="N30" s="12"/>
      <c r="O30" s="12"/>
    </row>
    <row r="31" spans="1:15" ht="24" x14ac:dyDescent="0.3">
      <c r="A31" s="12">
        <v>30</v>
      </c>
      <c r="B31" s="16" t="s">
        <v>15</v>
      </c>
      <c r="C31" s="12" t="s">
        <v>16</v>
      </c>
      <c r="D31" s="12" t="s">
        <v>155</v>
      </c>
      <c r="E31" s="12" t="s">
        <v>158</v>
      </c>
      <c r="F31" s="13">
        <v>7.0833333333333331E-2</v>
      </c>
      <c r="G31" s="12">
        <v>102</v>
      </c>
      <c r="H31" s="12" t="s">
        <v>159</v>
      </c>
      <c r="I31" s="29" t="s">
        <v>157</v>
      </c>
      <c r="J31" s="12" t="s">
        <v>21</v>
      </c>
      <c r="K31" s="12" t="s">
        <v>22</v>
      </c>
      <c r="L31" s="12"/>
      <c r="M31" s="12"/>
      <c r="N31" s="12"/>
      <c r="O31" s="12"/>
    </row>
    <row r="32" spans="1:15" ht="24" x14ac:dyDescent="0.3">
      <c r="A32" s="12">
        <v>31</v>
      </c>
      <c r="B32" s="16" t="s">
        <v>15</v>
      </c>
      <c r="C32" s="12" t="s">
        <v>16</v>
      </c>
      <c r="D32" s="12" t="s">
        <v>155</v>
      </c>
      <c r="E32" s="12" t="s">
        <v>160</v>
      </c>
      <c r="F32" s="13">
        <v>7.7777777777777779E-2</v>
      </c>
      <c r="G32" s="12">
        <v>112</v>
      </c>
      <c r="H32" s="12" t="s">
        <v>161</v>
      </c>
      <c r="I32" s="29" t="s">
        <v>157</v>
      </c>
      <c r="J32" s="12" t="s">
        <v>21</v>
      </c>
      <c r="K32" s="12" t="s">
        <v>22</v>
      </c>
      <c r="L32" s="12"/>
      <c r="M32" s="12"/>
      <c r="N32" s="12"/>
      <c r="O32" s="12"/>
    </row>
    <row r="33" spans="1:15" ht="24" x14ac:dyDescent="0.3">
      <c r="A33" s="12">
        <v>32</v>
      </c>
      <c r="B33" s="16" t="s">
        <v>15</v>
      </c>
      <c r="C33" s="12" t="s">
        <v>16</v>
      </c>
      <c r="D33" s="12" t="s">
        <v>155</v>
      </c>
      <c r="E33" s="12" t="s">
        <v>162</v>
      </c>
      <c r="F33" s="13">
        <v>6.6666666666666666E-2</v>
      </c>
      <c r="G33" s="12">
        <v>96</v>
      </c>
      <c r="H33" s="12" t="s">
        <v>163</v>
      </c>
      <c r="I33" s="29" t="s">
        <v>157</v>
      </c>
      <c r="J33" s="12" t="s">
        <v>21</v>
      </c>
      <c r="K33" s="12" t="s">
        <v>22</v>
      </c>
      <c r="L33" s="12"/>
      <c r="M33" s="12"/>
      <c r="N33" s="12"/>
      <c r="O33" s="12"/>
    </row>
    <row r="34" spans="1:15" ht="24" x14ac:dyDescent="0.3">
      <c r="A34" s="12">
        <v>33</v>
      </c>
      <c r="B34" s="16" t="s">
        <v>15</v>
      </c>
      <c r="C34" s="12" t="s">
        <v>16</v>
      </c>
      <c r="D34" s="12" t="s">
        <v>155</v>
      </c>
      <c r="E34" s="12" t="s">
        <v>164</v>
      </c>
      <c r="F34" s="13">
        <v>6.805555555555555E-2</v>
      </c>
      <c r="G34" s="12">
        <v>98</v>
      </c>
      <c r="H34" s="12" t="s">
        <v>165</v>
      </c>
      <c r="I34" s="29" t="s">
        <v>157</v>
      </c>
      <c r="J34" s="12" t="s">
        <v>21</v>
      </c>
      <c r="K34" s="12" t="s">
        <v>22</v>
      </c>
      <c r="L34" s="12"/>
      <c r="M34" s="12"/>
      <c r="N34" s="12"/>
      <c r="O34" s="12"/>
    </row>
    <row r="35" spans="1:15" ht="36" x14ac:dyDescent="0.3">
      <c r="A35" s="12">
        <v>34</v>
      </c>
      <c r="B35" s="16" t="s">
        <v>15</v>
      </c>
      <c r="C35" s="12" t="s">
        <v>16</v>
      </c>
      <c r="D35" s="12" t="s">
        <v>166</v>
      </c>
      <c r="E35" s="12" t="s">
        <v>167</v>
      </c>
      <c r="F35" s="13">
        <v>4.9999999999999996E-2</v>
      </c>
      <c r="G35" s="12">
        <v>72</v>
      </c>
      <c r="H35" s="12" t="s">
        <v>168</v>
      </c>
      <c r="I35" s="29" t="s">
        <v>169</v>
      </c>
      <c r="J35" s="12" t="s">
        <v>28</v>
      </c>
      <c r="K35" s="12" t="s">
        <v>22</v>
      </c>
      <c r="L35" s="12"/>
      <c r="M35" s="12"/>
      <c r="N35" s="12"/>
      <c r="O35" s="12" t="s">
        <v>170</v>
      </c>
    </row>
    <row r="36" spans="1:15" ht="24" x14ac:dyDescent="0.3">
      <c r="A36" s="12">
        <v>35</v>
      </c>
      <c r="B36" s="12" t="s">
        <v>36</v>
      </c>
      <c r="C36" s="12" t="s">
        <v>16</v>
      </c>
      <c r="D36" s="12" t="s">
        <v>171</v>
      </c>
      <c r="E36" s="12" t="s">
        <v>172</v>
      </c>
      <c r="F36" s="13">
        <v>3.6516203703703703E-2</v>
      </c>
      <c r="G36" s="12">
        <v>53</v>
      </c>
      <c r="H36" s="12" t="s">
        <v>426</v>
      </c>
      <c r="I36" s="29" t="s">
        <v>173</v>
      </c>
      <c r="J36" s="12" t="s">
        <v>174</v>
      </c>
      <c r="K36" s="12" t="s">
        <v>175</v>
      </c>
      <c r="L36" s="33"/>
      <c r="M36" s="33"/>
      <c r="N36" s="33"/>
      <c r="O36" s="12" t="s">
        <v>176</v>
      </c>
    </row>
    <row r="37" spans="1:15" ht="48" x14ac:dyDescent="0.3">
      <c r="A37" s="12">
        <v>36</v>
      </c>
      <c r="B37" s="16" t="s">
        <v>15</v>
      </c>
      <c r="C37" s="12" t="s">
        <v>16</v>
      </c>
      <c r="D37" s="12" t="s">
        <v>177</v>
      </c>
      <c r="E37" s="12" t="s">
        <v>178</v>
      </c>
      <c r="F37" s="13">
        <v>7.0833333331393078E-2</v>
      </c>
      <c r="G37" s="12">
        <v>102</v>
      </c>
      <c r="H37" s="12" t="s">
        <v>44</v>
      </c>
      <c r="I37" s="29" t="s">
        <v>179</v>
      </c>
      <c r="J37" s="12" t="s">
        <v>21</v>
      </c>
      <c r="K37" s="12" t="s">
        <v>22</v>
      </c>
      <c r="L37" s="33"/>
      <c r="M37" s="33"/>
      <c r="N37" s="33"/>
      <c r="O37" s="33"/>
    </row>
    <row r="38" spans="1:15" ht="48" x14ac:dyDescent="0.3">
      <c r="A38" s="12">
        <v>37</v>
      </c>
      <c r="B38" s="16" t="s">
        <v>15</v>
      </c>
      <c r="C38" s="12" t="s">
        <v>16</v>
      </c>
      <c r="D38" s="12" t="s">
        <v>177</v>
      </c>
      <c r="E38" s="12" t="s">
        <v>180</v>
      </c>
      <c r="F38" s="13">
        <v>8.7500000001455192E-2</v>
      </c>
      <c r="G38" s="12">
        <v>126</v>
      </c>
      <c r="H38" s="12" t="s">
        <v>161</v>
      </c>
      <c r="I38" s="29" t="s">
        <v>179</v>
      </c>
      <c r="J38" s="12" t="s">
        <v>21</v>
      </c>
      <c r="K38" s="12" t="s">
        <v>22</v>
      </c>
      <c r="L38" s="33"/>
      <c r="M38" s="33"/>
      <c r="N38" s="33"/>
      <c r="O38" s="33"/>
    </row>
    <row r="39" spans="1:15" ht="48" x14ac:dyDescent="0.3">
      <c r="A39" s="12">
        <v>38</v>
      </c>
      <c r="B39" s="16" t="s">
        <v>15</v>
      </c>
      <c r="C39" s="12" t="s">
        <v>16</v>
      </c>
      <c r="D39" s="12" t="s">
        <v>177</v>
      </c>
      <c r="E39" s="12" t="s">
        <v>181</v>
      </c>
      <c r="F39" s="13">
        <v>8.6805555554747116E-2</v>
      </c>
      <c r="G39" s="12">
        <v>125</v>
      </c>
      <c r="H39" s="12" t="s">
        <v>165</v>
      </c>
      <c r="I39" s="29" t="s">
        <v>179</v>
      </c>
      <c r="J39" s="12" t="s">
        <v>21</v>
      </c>
      <c r="K39" s="12" t="s">
        <v>22</v>
      </c>
      <c r="L39" s="33"/>
      <c r="M39" s="33"/>
      <c r="N39" s="33"/>
      <c r="O39" s="33"/>
    </row>
    <row r="40" spans="1:15" ht="48" x14ac:dyDescent="0.3">
      <c r="A40" s="12">
        <v>39</v>
      </c>
      <c r="B40" s="16" t="s">
        <v>15</v>
      </c>
      <c r="C40" s="12" t="s">
        <v>16</v>
      </c>
      <c r="D40" s="12" t="s">
        <v>182</v>
      </c>
      <c r="E40" s="12" t="s">
        <v>183</v>
      </c>
      <c r="F40" s="13">
        <v>7.7083333329937886E-2</v>
      </c>
      <c r="G40" s="12">
        <v>111</v>
      </c>
      <c r="H40" s="12" t="s">
        <v>159</v>
      </c>
      <c r="I40" s="29" t="s">
        <v>179</v>
      </c>
      <c r="J40" s="12" t="s">
        <v>21</v>
      </c>
      <c r="K40" s="12" t="s">
        <v>22</v>
      </c>
      <c r="L40" s="33"/>
      <c r="M40" s="33"/>
      <c r="N40" s="33"/>
      <c r="O40" s="33"/>
    </row>
    <row r="41" spans="1:15" ht="48" x14ac:dyDescent="0.3">
      <c r="A41" s="12">
        <v>40</v>
      </c>
      <c r="B41" s="16" t="s">
        <v>15</v>
      </c>
      <c r="C41" s="12" t="s">
        <v>16</v>
      </c>
      <c r="D41" s="12" t="s">
        <v>182</v>
      </c>
      <c r="E41" s="12" t="s">
        <v>184</v>
      </c>
      <c r="F41" s="13">
        <v>7.4999999997089617E-2</v>
      </c>
      <c r="G41" s="12">
        <v>108</v>
      </c>
      <c r="H41" s="12" t="s">
        <v>163</v>
      </c>
      <c r="I41" s="29" t="s">
        <v>185</v>
      </c>
      <c r="J41" s="12" t="s">
        <v>21</v>
      </c>
      <c r="K41" s="12" t="s">
        <v>22</v>
      </c>
      <c r="L41" s="33"/>
      <c r="M41" s="33"/>
      <c r="N41" s="33"/>
      <c r="O41" s="33"/>
    </row>
    <row r="42" spans="1:15" ht="24" x14ac:dyDescent="0.3">
      <c r="A42" s="12">
        <v>41</v>
      </c>
      <c r="B42" s="16" t="s">
        <v>15</v>
      </c>
      <c r="C42" s="12" t="s">
        <v>16</v>
      </c>
      <c r="D42" s="12" t="s">
        <v>186</v>
      </c>
      <c r="E42" s="12" t="s">
        <v>187</v>
      </c>
      <c r="F42" s="13">
        <v>3.1828703722567298E-3</v>
      </c>
      <c r="G42" s="12">
        <v>5</v>
      </c>
      <c r="H42" s="12" t="s">
        <v>188</v>
      </c>
      <c r="I42" s="29" t="s">
        <v>189</v>
      </c>
      <c r="J42" s="12" t="s">
        <v>21</v>
      </c>
      <c r="K42" s="12" t="s">
        <v>33</v>
      </c>
      <c r="L42" s="33"/>
      <c r="M42" s="33"/>
      <c r="N42" s="33"/>
      <c r="O42" s="15" t="s">
        <v>73</v>
      </c>
    </row>
    <row r="43" spans="1:15" ht="36" x14ac:dyDescent="0.3">
      <c r="A43" s="12">
        <v>1</v>
      </c>
      <c r="B43" s="16" t="s">
        <v>36</v>
      </c>
      <c r="C43" s="12" t="s">
        <v>190</v>
      </c>
      <c r="D43" s="38" t="s">
        <v>191</v>
      </c>
      <c r="E43" s="38" t="s">
        <v>192</v>
      </c>
      <c r="F43" s="13">
        <v>0.22430555555555556</v>
      </c>
      <c r="G43" s="12">
        <v>323</v>
      </c>
      <c r="H43" s="12" t="s">
        <v>193</v>
      </c>
      <c r="I43" s="29" t="s">
        <v>194</v>
      </c>
      <c r="J43" s="12" t="s">
        <v>174</v>
      </c>
      <c r="K43" s="12" t="s">
        <v>195</v>
      </c>
      <c r="L43" s="33"/>
      <c r="M43" s="33"/>
      <c r="N43" s="33"/>
      <c r="O43" s="15" t="s">
        <v>196</v>
      </c>
    </row>
    <row r="44" spans="1:15" ht="48" x14ac:dyDescent="0.3">
      <c r="A44" s="12">
        <v>2</v>
      </c>
      <c r="B44" s="16" t="s">
        <v>36</v>
      </c>
      <c r="C44" s="12" t="s">
        <v>190</v>
      </c>
      <c r="D44" s="12" t="s">
        <v>197</v>
      </c>
      <c r="E44" s="12" t="s">
        <v>198</v>
      </c>
      <c r="F44" s="13" t="s">
        <v>199</v>
      </c>
      <c r="G44" s="12">
        <v>64</v>
      </c>
      <c r="H44" s="12" t="s">
        <v>200</v>
      </c>
      <c r="I44" s="29" t="s">
        <v>201</v>
      </c>
      <c r="J44" s="12" t="s">
        <v>28</v>
      </c>
      <c r="K44" s="12" t="s">
        <v>22</v>
      </c>
      <c r="L44" s="33"/>
      <c r="M44" s="33"/>
      <c r="N44" s="33"/>
      <c r="O44" s="15" t="s">
        <v>202</v>
      </c>
    </row>
    <row r="45" spans="1:15" ht="24" x14ac:dyDescent="0.3">
      <c r="A45" s="12">
        <v>3</v>
      </c>
      <c r="B45" s="16" t="s">
        <v>36</v>
      </c>
      <c r="C45" s="12" t="s">
        <v>190</v>
      </c>
      <c r="D45" s="12" t="s">
        <v>203</v>
      </c>
      <c r="E45" s="12" t="s">
        <v>204</v>
      </c>
      <c r="F45" s="13">
        <v>2.1527777782466728E-2</v>
      </c>
      <c r="G45" s="12">
        <v>31</v>
      </c>
      <c r="H45" s="12" t="s">
        <v>39</v>
      </c>
      <c r="I45" s="29" t="s">
        <v>205</v>
      </c>
      <c r="J45" s="12" t="s">
        <v>174</v>
      </c>
      <c r="K45" s="12" t="s">
        <v>33</v>
      </c>
      <c r="L45" s="33"/>
      <c r="M45" s="33"/>
      <c r="N45" s="33"/>
      <c r="O45" s="15" t="s">
        <v>41</v>
      </c>
    </row>
    <row r="46" spans="1:15" ht="36" x14ac:dyDescent="0.3">
      <c r="A46" s="12">
        <v>4</v>
      </c>
      <c r="B46" s="16" t="s">
        <v>36</v>
      </c>
      <c r="C46" s="12" t="s">
        <v>190</v>
      </c>
      <c r="D46" s="12" t="s">
        <v>206</v>
      </c>
      <c r="E46" s="12" t="s">
        <v>207</v>
      </c>
      <c r="F46" s="13" t="s">
        <v>208</v>
      </c>
      <c r="G46" s="12">
        <v>1</v>
      </c>
      <c r="H46" s="12" t="s">
        <v>1281</v>
      </c>
      <c r="I46" s="29" t="s">
        <v>209</v>
      </c>
      <c r="J46" s="12" t="s">
        <v>21</v>
      </c>
      <c r="K46" s="12" t="s">
        <v>33</v>
      </c>
      <c r="L46" s="33"/>
      <c r="M46" s="33"/>
      <c r="N46" s="33"/>
      <c r="O46" s="15" t="s">
        <v>111</v>
      </c>
    </row>
    <row r="47" spans="1:15" ht="36" x14ac:dyDescent="0.3">
      <c r="A47" s="12">
        <v>5</v>
      </c>
      <c r="B47" s="27" t="s">
        <v>23</v>
      </c>
      <c r="C47" s="12" t="s">
        <v>190</v>
      </c>
      <c r="D47" s="12" t="s">
        <v>210</v>
      </c>
      <c r="E47" s="12" t="s">
        <v>211</v>
      </c>
      <c r="F47" s="13">
        <v>7.6388888888888886E-3</v>
      </c>
      <c r="G47" s="12">
        <v>11</v>
      </c>
      <c r="H47" s="12" t="s">
        <v>212</v>
      </c>
      <c r="I47" s="29" t="s">
        <v>213</v>
      </c>
      <c r="J47" s="12" t="s">
        <v>21</v>
      </c>
      <c r="K47" s="12" t="s">
        <v>33</v>
      </c>
      <c r="L47" s="12" t="s">
        <v>214</v>
      </c>
      <c r="M47" s="33"/>
      <c r="N47" s="33"/>
      <c r="O47" s="15" t="s">
        <v>215</v>
      </c>
    </row>
    <row r="48" spans="1:15" ht="24" x14ac:dyDescent="0.3">
      <c r="A48" s="12">
        <v>6</v>
      </c>
      <c r="B48" s="16" t="s">
        <v>36</v>
      </c>
      <c r="C48" s="12" t="s">
        <v>190</v>
      </c>
      <c r="D48" s="28" t="s">
        <v>216</v>
      </c>
      <c r="E48" s="13" t="s">
        <v>217</v>
      </c>
      <c r="F48" s="13">
        <v>6.9444444444444444E-5</v>
      </c>
      <c r="G48" s="12">
        <v>0</v>
      </c>
      <c r="H48" s="12" t="s">
        <v>218</v>
      </c>
      <c r="I48" s="29" t="s">
        <v>219</v>
      </c>
      <c r="J48" s="12" t="s">
        <v>21</v>
      </c>
      <c r="K48" s="12" t="s">
        <v>33</v>
      </c>
      <c r="L48" s="33"/>
      <c r="M48" s="33"/>
      <c r="N48" s="33"/>
      <c r="O48" s="15" t="s">
        <v>220</v>
      </c>
    </row>
    <row r="49" spans="1:15" ht="48" x14ac:dyDescent="0.3">
      <c r="A49" s="12">
        <v>7</v>
      </c>
      <c r="B49" s="16" t="s">
        <v>15</v>
      </c>
      <c r="C49" s="12" t="s">
        <v>190</v>
      </c>
      <c r="D49" s="12" t="s">
        <v>221</v>
      </c>
      <c r="E49" s="12" t="s">
        <v>222</v>
      </c>
      <c r="F49" s="13">
        <v>5.1273148148148151E-2</v>
      </c>
      <c r="G49" s="12">
        <v>74</v>
      </c>
      <c r="H49" s="12" t="s">
        <v>223</v>
      </c>
      <c r="I49" s="29" t="s">
        <v>224</v>
      </c>
      <c r="J49" s="12" t="s">
        <v>148</v>
      </c>
      <c r="K49" s="12" t="s">
        <v>33</v>
      </c>
      <c r="L49" s="33"/>
      <c r="M49" s="33"/>
      <c r="N49" s="33"/>
      <c r="O49" s="15" t="s">
        <v>225</v>
      </c>
    </row>
    <row r="50" spans="1:15" ht="24" x14ac:dyDescent="0.3">
      <c r="A50" s="12">
        <v>8</v>
      </c>
      <c r="B50" s="16" t="s">
        <v>36</v>
      </c>
      <c r="C50" s="12" t="s">
        <v>190</v>
      </c>
      <c r="D50" s="12" t="s">
        <v>221</v>
      </c>
      <c r="E50" s="12" t="s">
        <v>226</v>
      </c>
      <c r="F50" s="13">
        <v>0.15608796296296296</v>
      </c>
      <c r="G50" s="12">
        <v>225</v>
      </c>
      <c r="H50" s="12" t="s">
        <v>227</v>
      </c>
      <c r="I50" s="29" t="s">
        <v>228</v>
      </c>
      <c r="J50" s="12" t="s">
        <v>28</v>
      </c>
      <c r="K50" s="12" t="s">
        <v>33</v>
      </c>
      <c r="L50" s="33"/>
      <c r="M50" s="33"/>
      <c r="N50" s="33"/>
      <c r="O50" s="15" t="s">
        <v>229</v>
      </c>
    </row>
    <row r="51" spans="1:15" ht="36" x14ac:dyDescent="0.3">
      <c r="A51" s="12">
        <v>9</v>
      </c>
      <c r="B51" s="16" t="s">
        <v>15</v>
      </c>
      <c r="C51" s="12" t="s">
        <v>190</v>
      </c>
      <c r="D51" s="12" t="s">
        <v>230</v>
      </c>
      <c r="E51" s="12" t="s">
        <v>231</v>
      </c>
      <c r="F51" s="13">
        <v>6.3194444444444442E-2</v>
      </c>
      <c r="G51" s="12">
        <v>91</v>
      </c>
      <c r="H51" s="12" t="s">
        <v>232</v>
      </c>
      <c r="I51" s="29" t="s">
        <v>233</v>
      </c>
      <c r="J51" s="12" t="s">
        <v>28</v>
      </c>
      <c r="K51" s="12" t="s">
        <v>22</v>
      </c>
      <c r="L51" s="33"/>
      <c r="M51" s="33"/>
      <c r="N51" s="33"/>
      <c r="O51" s="15" t="s">
        <v>234</v>
      </c>
    </row>
    <row r="52" spans="1:15" ht="24" x14ac:dyDescent="0.3">
      <c r="A52" s="12">
        <v>10</v>
      </c>
      <c r="B52" s="16" t="s">
        <v>15</v>
      </c>
      <c r="C52" s="12" t="s">
        <v>190</v>
      </c>
      <c r="D52" s="12" t="s">
        <v>235</v>
      </c>
      <c r="E52" s="12" t="s">
        <v>236</v>
      </c>
      <c r="F52" s="13">
        <v>5.151620370370371E-2</v>
      </c>
      <c r="G52" s="12">
        <v>74</v>
      </c>
      <c r="H52" s="12" t="s">
        <v>237</v>
      </c>
      <c r="I52" s="29" t="s">
        <v>238</v>
      </c>
      <c r="J52" s="12" t="s">
        <v>21</v>
      </c>
      <c r="K52" s="12" t="s">
        <v>22</v>
      </c>
      <c r="L52" s="33" t="s">
        <v>239</v>
      </c>
      <c r="M52" s="33"/>
      <c r="N52" s="33"/>
      <c r="O52" s="15"/>
    </row>
    <row r="53" spans="1:15" ht="24" x14ac:dyDescent="0.3">
      <c r="A53" s="12">
        <v>11</v>
      </c>
      <c r="B53" s="16" t="s">
        <v>15</v>
      </c>
      <c r="C53" s="12" t="s">
        <v>190</v>
      </c>
      <c r="D53" s="12" t="s">
        <v>235</v>
      </c>
      <c r="E53" s="12" t="s">
        <v>240</v>
      </c>
      <c r="F53" s="13">
        <v>5.2905092592592594E-2</v>
      </c>
      <c r="G53" s="12">
        <v>76</v>
      </c>
      <c r="H53" s="12" t="s">
        <v>241</v>
      </c>
      <c r="I53" s="29" t="s">
        <v>238</v>
      </c>
      <c r="J53" s="12" t="s">
        <v>21</v>
      </c>
      <c r="K53" s="12" t="s">
        <v>22</v>
      </c>
      <c r="L53" s="33" t="s">
        <v>239</v>
      </c>
      <c r="M53" s="33"/>
      <c r="N53" s="33"/>
      <c r="O53" s="15"/>
    </row>
    <row r="54" spans="1:15" ht="24" x14ac:dyDescent="0.3">
      <c r="A54" s="12">
        <v>12</v>
      </c>
      <c r="B54" s="16" t="s">
        <v>15</v>
      </c>
      <c r="C54" s="12" t="s">
        <v>190</v>
      </c>
      <c r="D54" s="12" t="s">
        <v>235</v>
      </c>
      <c r="E54" s="12" t="s">
        <v>242</v>
      </c>
      <c r="F54" s="13">
        <v>6.6793981481481482E-2</v>
      </c>
      <c r="G54" s="12">
        <v>96</v>
      </c>
      <c r="H54" s="12" t="s">
        <v>243</v>
      </c>
      <c r="I54" s="29" t="s">
        <v>238</v>
      </c>
      <c r="J54" s="12" t="s">
        <v>21</v>
      </c>
      <c r="K54" s="12" t="s">
        <v>22</v>
      </c>
      <c r="L54" s="33" t="s">
        <v>239</v>
      </c>
      <c r="M54" s="33"/>
      <c r="N54" s="33"/>
      <c r="O54" s="15"/>
    </row>
    <row r="55" spans="1:15" ht="24" x14ac:dyDescent="0.3">
      <c r="A55" s="12">
        <v>13</v>
      </c>
      <c r="B55" s="16" t="s">
        <v>15</v>
      </c>
      <c r="C55" s="12" t="s">
        <v>190</v>
      </c>
      <c r="D55" s="12" t="s">
        <v>235</v>
      </c>
      <c r="E55" s="12" t="s">
        <v>244</v>
      </c>
      <c r="F55" s="13">
        <v>6.609953703703704E-2</v>
      </c>
      <c r="G55" s="12">
        <v>95</v>
      </c>
      <c r="H55" s="12" t="s">
        <v>245</v>
      </c>
      <c r="I55" s="29" t="s">
        <v>238</v>
      </c>
      <c r="J55" s="12" t="s">
        <v>21</v>
      </c>
      <c r="K55" s="12" t="s">
        <v>22</v>
      </c>
      <c r="L55" s="33" t="s">
        <v>239</v>
      </c>
      <c r="M55" s="33"/>
      <c r="N55" s="33"/>
      <c r="O55" s="15"/>
    </row>
    <row r="56" spans="1:15" ht="24" x14ac:dyDescent="0.3">
      <c r="A56" s="12">
        <v>14</v>
      </c>
      <c r="B56" s="16" t="s">
        <v>15</v>
      </c>
      <c r="C56" s="12" t="s">
        <v>190</v>
      </c>
      <c r="D56" s="12" t="s">
        <v>246</v>
      </c>
      <c r="E56" s="12" t="s">
        <v>247</v>
      </c>
      <c r="F56" s="13">
        <v>3.530092592592592E-3</v>
      </c>
      <c r="G56" s="12">
        <v>5</v>
      </c>
      <c r="H56" s="12" t="s">
        <v>248</v>
      </c>
      <c r="I56" s="29" t="s">
        <v>249</v>
      </c>
      <c r="J56" s="12" t="s">
        <v>21</v>
      </c>
      <c r="K56" s="12" t="s">
        <v>22</v>
      </c>
      <c r="L56" s="33"/>
      <c r="M56" s="33"/>
      <c r="N56" s="33"/>
      <c r="O56" s="15"/>
    </row>
    <row r="57" spans="1:15" ht="60" x14ac:dyDescent="0.3">
      <c r="A57" s="12">
        <v>15</v>
      </c>
      <c r="B57" s="16" t="s">
        <v>36</v>
      </c>
      <c r="C57" s="12" t="s">
        <v>190</v>
      </c>
      <c r="D57" s="12" t="s">
        <v>250</v>
      </c>
      <c r="E57" s="12" t="s">
        <v>251</v>
      </c>
      <c r="F57" s="13">
        <v>5.9027777773735579E-2</v>
      </c>
      <c r="G57" s="12">
        <v>85</v>
      </c>
      <c r="H57" s="12" t="s">
        <v>252</v>
      </c>
      <c r="I57" s="29" t="s">
        <v>253</v>
      </c>
      <c r="J57" s="12" t="s">
        <v>141</v>
      </c>
      <c r="K57" s="12" t="s">
        <v>33</v>
      </c>
      <c r="L57" s="33"/>
      <c r="M57" s="33"/>
      <c r="N57" s="33"/>
      <c r="O57" s="15" t="s">
        <v>254</v>
      </c>
    </row>
    <row r="58" spans="1:15" ht="36" x14ac:dyDescent="0.3">
      <c r="A58" s="12">
        <v>16</v>
      </c>
      <c r="B58" s="12" t="s">
        <v>23</v>
      </c>
      <c r="C58" s="12" t="s">
        <v>190</v>
      </c>
      <c r="D58" s="12" t="s">
        <v>255</v>
      </c>
      <c r="E58" s="12" t="s">
        <v>256</v>
      </c>
      <c r="F58" s="13">
        <v>3.7037036963738501E-4</v>
      </c>
      <c r="G58" s="12">
        <v>1</v>
      </c>
      <c r="H58" s="12" t="s">
        <v>1306</v>
      </c>
      <c r="I58" s="29" t="s">
        <v>257</v>
      </c>
      <c r="J58" s="12" t="s">
        <v>141</v>
      </c>
      <c r="K58" s="12" t="s">
        <v>33</v>
      </c>
      <c r="L58" s="33"/>
      <c r="M58" s="33"/>
      <c r="N58" s="33"/>
      <c r="O58" s="15" t="s">
        <v>258</v>
      </c>
    </row>
    <row r="59" spans="1:15" ht="24" x14ac:dyDescent="0.3">
      <c r="A59" s="12">
        <v>17</v>
      </c>
      <c r="B59" s="16" t="s">
        <v>36</v>
      </c>
      <c r="C59" s="12" t="s">
        <v>190</v>
      </c>
      <c r="D59" s="12" t="s">
        <v>259</v>
      </c>
      <c r="E59" s="12" t="s">
        <v>260</v>
      </c>
      <c r="F59" s="13">
        <v>2.7777777777777776E-2</v>
      </c>
      <c r="G59" s="12">
        <v>40</v>
      </c>
      <c r="H59" s="12" t="s">
        <v>261</v>
      </c>
      <c r="I59" s="29" t="s">
        <v>262</v>
      </c>
      <c r="J59" s="12" t="s">
        <v>28</v>
      </c>
      <c r="K59" s="12" t="s">
        <v>22</v>
      </c>
      <c r="L59" s="33"/>
      <c r="M59" s="33"/>
      <c r="N59" s="33"/>
      <c r="O59" s="15" t="s">
        <v>263</v>
      </c>
    </row>
    <row r="60" spans="1:15" ht="36" x14ac:dyDescent="0.3">
      <c r="A60" s="12">
        <v>18</v>
      </c>
      <c r="B60" s="12" t="s">
        <v>23</v>
      </c>
      <c r="C60" s="12" t="s">
        <v>190</v>
      </c>
      <c r="D60" s="12" t="s">
        <v>264</v>
      </c>
      <c r="E60" s="12" t="s">
        <v>265</v>
      </c>
      <c r="F60" s="13">
        <v>9.3750000087311491E-4</v>
      </c>
      <c r="G60" s="12">
        <v>1</v>
      </c>
      <c r="H60" s="12" t="s">
        <v>1301</v>
      </c>
      <c r="I60" s="29" t="s">
        <v>266</v>
      </c>
      <c r="J60" s="12" t="s">
        <v>21</v>
      </c>
      <c r="K60" s="12" t="s">
        <v>33</v>
      </c>
      <c r="L60" s="33"/>
      <c r="M60" s="33"/>
      <c r="N60" s="33"/>
      <c r="O60" s="15" t="s">
        <v>267</v>
      </c>
    </row>
    <row r="61" spans="1:15" ht="24" x14ac:dyDescent="0.3">
      <c r="A61" s="12">
        <v>19</v>
      </c>
      <c r="B61" s="12" t="s">
        <v>23</v>
      </c>
      <c r="C61" s="12" t="s">
        <v>190</v>
      </c>
      <c r="D61" s="12" t="s">
        <v>268</v>
      </c>
      <c r="E61" s="12" t="s">
        <v>269</v>
      </c>
      <c r="F61" s="13">
        <v>6.9444444444444444E-5</v>
      </c>
      <c r="G61" s="12">
        <v>0</v>
      </c>
      <c r="H61" s="12" t="s">
        <v>270</v>
      </c>
      <c r="I61" s="29" t="s">
        <v>271</v>
      </c>
      <c r="J61" s="12" t="s">
        <v>174</v>
      </c>
      <c r="K61" s="12" t="s">
        <v>175</v>
      </c>
      <c r="L61" s="33"/>
      <c r="M61" s="33"/>
      <c r="N61" s="33"/>
      <c r="O61" s="15" t="s">
        <v>272</v>
      </c>
    </row>
    <row r="62" spans="1:15" ht="60" x14ac:dyDescent="0.3">
      <c r="A62" s="12">
        <v>20</v>
      </c>
      <c r="B62" s="12" t="s">
        <v>23</v>
      </c>
      <c r="C62" s="12" t="s">
        <v>190</v>
      </c>
      <c r="D62" s="28" t="s">
        <v>273</v>
      </c>
      <c r="E62" s="28" t="s">
        <v>274</v>
      </c>
      <c r="F62" s="13">
        <v>7.6388888888888886E-3</v>
      </c>
      <c r="G62" s="12">
        <v>11</v>
      </c>
      <c r="H62" s="12" t="s">
        <v>275</v>
      </c>
      <c r="I62" s="29" t="s">
        <v>276</v>
      </c>
      <c r="J62" s="12" t="s">
        <v>21</v>
      </c>
      <c r="K62" s="12" t="s">
        <v>33</v>
      </c>
      <c r="L62" s="33"/>
      <c r="M62" s="33"/>
      <c r="N62" s="33"/>
      <c r="O62" s="15" t="s">
        <v>277</v>
      </c>
    </row>
    <row r="63" spans="1:15" ht="36" x14ac:dyDescent="0.3">
      <c r="A63" s="12">
        <v>21</v>
      </c>
      <c r="B63" s="12" t="s">
        <v>23</v>
      </c>
      <c r="C63" s="12" t="s">
        <v>190</v>
      </c>
      <c r="D63" s="28" t="s">
        <v>278</v>
      </c>
      <c r="E63" s="28" t="s">
        <v>279</v>
      </c>
      <c r="F63" s="13">
        <v>1.3888888888888889E-3</v>
      </c>
      <c r="G63" s="12">
        <v>2</v>
      </c>
      <c r="H63" s="12" t="s">
        <v>280</v>
      </c>
      <c r="I63" s="29" t="s">
        <v>281</v>
      </c>
      <c r="J63" s="12" t="s">
        <v>21</v>
      </c>
      <c r="K63" s="12" t="s">
        <v>33</v>
      </c>
      <c r="L63" s="33"/>
      <c r="M63" s="33"/>
      <c r="N63" s="33"/>
      <c r="O63" s="15" t="s">
        <v>282</v>
      </c>
    </row>
    <row r="64" spans="1:15" ht="36" x14ac:dyDescent="0.3">
      <c r="A64" s="12">
        <v>22</v>
      </c>
      <c r="B64" s="12" t="s">
        <v>23</v>
      </c>
      <c r="C64" s="12" t="s">
        <v>190</v>
      </c>
      <c r="D64" s="28" t="s">
        <v>283</v>
      </c>
      <c r="E64" s="28" t="s">
        <v>284</v>
      </c>
      <c r="F64" s="13">
        <v>7.6388888888888886E-3</v>
      </c>
      <c r="G64" s="12">
        <v>11</v>
      </c>
      <c r="H64" s="12" t="s">
        <v>285</v>
      </c>
      <c r="I64" s="29" t="s">
        <v>286</v>
      </c>
      <c r="J64" s="12" t="s">
        <v>21</v>
      </c>
      <c r="K64" s="12" t="s">
        <v>33</v>
      </c>
      <c r="L64" s="33"/>
      <c r="M64" s="33"/>
      <c r="N64" s="33"/>
      <c r="O64" s="15" t="s">
        <v>287</v>
      </c>
    </row>
    <row r="65" spans="1:15" ht="36" x14ac:dyDescent="0.3">
      <c r="A65" s="12">
        <v>23</v>
      </c>
      <c r="B65" s="12" t="s">
        <v>23</v>
      </c>
      <c r="C65" s="12" t="s">
        <v>190</v>
      </c>
      <c r="D65" s="28" t="s">
        <v>288</v>
      </c>
      <c r="E65" s="28" t="s">
        <v>289</v>
      </c>
      <c r="F65" s="13">
        <v>4.1724537037037039E-2</v>
      </c>
      <c r="G65" s="12">
        <v>1</v>
      </c>
      <c r="H65" s="12" t="s">
        <v>290</v>
      </c>
      <c r="I65" s="29" t="s">
        <v>291</v>
      </c>
      <c r="J65" s="12" t="s">
        <v>21</v>
      </c>
      <c r="K65" s="12" t="s">
        <v>33</v>
      </c>
      <c r="L65" s="33"/>
      <c r="M65" s="33"/>
      <c r="N65" s="33"/>
      <c r="O65" s="15" t="s">
        <v>292</v>
      </c>
    </row>
    <row r="66" spans="1:15" ht="96" x14ac:dyDescent="0.3">
      <c r="A66" s="12">
        <v>24</v>
      </c>
      <c r="B66" s="12" t="s">
        <v>23</v>
      </c>
      <c r="C66" s="12" t="s">
        <v>190</v>
      </c>
      <c r="D66" s="28" t="s">
        <v>293</v>
      </c>
      <c r="E66" s="28" t="s">
        <v>294</v>
      </c>
      <c r="F66" s="13">
        <v>5.5555555555555558E-3</v>
      </c>
      <c r="G66" s="12">
        <v>8</v>
      </c>
      <c r="H66" s="12" t="s">
        <v>295</v>
      </c>
      <c r="I66" s="29" t="s">
        <v>296</v>
      </c>
      <c r="J66" s="12" t="s">
        <v>21</v>
      </c>
      <c r="K66" s="12" t="s">
        <v>33</v>
      </c>
      <c r="L66" s="33"/>
      <c r="M66" s="33"/>
      <c r="N66" s="33"/>
      <c r="O66" s="15" t="s">
        <v>297</v>
      </c>
    </row>
    <row r="67" spans="1:15" ht="36" x14ac:dyDescent="0.3">
      <c r="A67" s="12">
        <v>25</v>
      </c>
      <c r="B67" s="12" t="s">
        <v>23</v>
      </c>
      <c r="C67" s="12" t="s">
        <v>190</v>
      </c>
      <c r="D67" s="28" t="s">
        <v>298</v>
      </c>
      <c r="E67" s="28" t="s">
        <v>299</v>
      </c>
      <c r="F67" s="13">
        <v>6.9444444444444441E-3</v>
      </c>
      <c r="G67" s="12">
        <v>10</v>
      </c>
      <c r="H67" s="12" t="s">
        <v>300</v>
      </c>
      <c r="I67" s="29" t="s">
        <v>301</v>
      </c>
      <c r="J67" s="12" t="s">
        <v>302</v>
      </c>
      <c r="K67" s="12" t="s">
        <v>33</v>
      </c>
      <c r="L67" s="33"/>
      <c r="M67" s="33"/>
      <c r="N67" s="33"/>
      <c r="O67" s="15" t="s">
        <v>303</v>
      </c>
    </row>
    <row r="68" spans="1:15" ht="24" x14ac:dyDescent="0.3">
      <c r="A68" s="12">
        <v>26</v>
      </c>
      <c r="B68" s="12" t="s">
        <v>23</v>
      </c>
      <c r="C68" s="12" t="s">
        <v>190</v>
      </c>
      <c r="D68" s="28" t="s">
        <v>304</v>
      </c>
      <c r="E68" s="28" t="s">
        <v>305</v>
      </c>
      <c r="F68" s="13">
        <v>5.5555555555555558E-3</v>
      </c>
      <c r="G68" s="12">
        <v>8</v>
      </c>
      <c r="H68" s="12" t="s">
        <v>306</v>
      </c>
      <c r="I68" s="29" t="s">
        <v>307</v>
      </c>
      <c r="J68" s="12" t="s">
        <v>21</v>
      </c>
      <c r="K68" s="12" t="s">
        <v>33</v>
      </c>
      <c r="L68" s="33"/>
      <c r="M68" s="33"/>
      <c r="N68" s="33"/>
      <c r="O68" s="15" t="s">
        <v>308</v>
      </c>
    </row>
    <row r="69" spans="1:15" ht="48" x14ac:dyDescent="0.3">
      <c r="A69" s="12">
        <v>27</v>
      </c>
      <c r="B69" s="12" t="s">
        <v>23</v>
      </c>
      <c r="C69" s="12" t="s">
        <v>190</v>
      </c>
      <c r="D69" s="28" t="s">
        <v>309</v>
      </c>
      <c r="E69" s="28" t="s">
        <v>310</v>
      </c>
      <c r="F69" s="13">
        <v>7.6388888888888886E-3</v>
      </c>
      <c r="G69" s="12">
        <v>11</v>
      </c>
      <c r="H69" s="12" t="s">
        <v>311</v>
      </c>
      <c r="I69" s="29" t="s">
        <v>312</v>
      </c>
      <c r="J69" s="12" t="s">
        <v>21</v>
      </c>
      <c r="K69" s="12" t="s">
        <v>33</v>
      </c>
      <c r="L69" s="33"/>
      <c r="M69" s="33"/>
      <c r="N69" s="33"/>
      <c r="O69" s="15" t="s">
        <v>313</v>
      </c>
    </row>
    <row r="70" spans="1:15" ht="36" x14ac:dyDescent="0.3">
      <c r="A70" s="12">
        <v>28</v>
      </c>
      <c r="B70" s="12" t="s">
        <v>36</v>
      </c>
      <c r="C70" s="12" t="s">
        <v>190</v>
      </c>
      <c r="D70" s="28" t="s">
        <v>314</v>
      </c>
      <c r="E70" s="28" t="s">
        <v>315</v>
      </c>
      <c r="F70" s="13">
        <v>7.4537037037037028E-3</v>
      </c>
      <c r="G70" s="12">
        <v>11</v>
      </c>
      <c r="H70" s="12" t="s">
        <v>1297</v>
      </c>
      <c r="I70" s="29" t="s">
        <v>316</v>
      </c>
      <c r="J70" s="12" t="s">
        <v>21</v>
      </c>
      <c r="K70" s="12" t="s">
        <v>33</v>
      </c>
      <c r="L70" s="33"/>
      <c r="M70" s="33"/>
      <c r="N70" s="33"/>
      <c r="O70" s="15" t="s">
        <v>111</v>
      </c>
    </row>
    <row r="71" spans="1:15" ht="48" x14ac:dyDescent="0.3">
      <c r="A71" s="12">
        <v>29</v>
      </c>
      <c r="B71" s="12" t="s">
        <v>36</v>
      </c>
      <c r="C71" s="12" t="s">
        <v>190</v>
      </c>
      <c r="D71" s="28" t="s">
        <v>317</v>
      </c>
      <c r="E71" s="28" t="s">
        <v>318</v>
      </c>
      <c r="F71" s="13">
        <v>3.9583333338669036E-2</v>
      </c>
      <c r="G71" s="12">
        <v>57</v>
      </c>
      <c r="H71" s="12" t="s">
        <v>319</v>
      </c>
      <c r="I71" s="29" t="s">
        <v>320</v>
      </c>
      <c r="J71" s="12" t="s">
        <v>21</v>
      </c>
      <c r="K71" s="12" t="s">
        <v>33</v>
      </c>
      <c r="L71" s="33"/>
      <c r="M71" s="33"/>
      <c r="N71" s="33"/>
      <c r="O71" s="15" t="s">
        <v>321</v>
      </c>
    </row>
    <row r="72" spans="1:15" ht="36" x14ac:dyDescent="0.3">
      <c r="A72" s="12">
        <v>30</v>
      </c>
      <c r="B72" s="16" t="s">
        <v>15</v>
      </c>
      <c r="C72" s="12" t="s">
        <v>190</v>
      </c>
      <c r="D72" s="28" t="s">
        <v>322</v>
      </c>
      <c r="E72" s="28" t="s">
        <v>323</v>
      </c>
      <c r="F72" s="13">
        <v>4.2361111111111106E-2</v>
      </c>
      <c r="G72" s="12">
        <v>61</v>
      </c>
      <c r="H72" s="12" t="s">
        <v>324</v>
      </c>
      <c r="I72" s="29" t="s">
        <v>325</v>
      </c>
      <c r="J72" s="12" t="s">
        <v>28</v>
      </c>
      <c r="K72" s="12" t="s">
        <v>22</v>
      </c>
      <c r="L72" s="33"/>
      <c r="M72" s="33"/>
      <c r="N72" s="33"/>
      <c r="O72" s="15" t="s">
        <v>326</v>
      </c>
    </row>
    <row r="73" spans="1:15" ht="36" x14ac:dyDescent="0.3">
      <c r="A73" s="12">
        <v>31</v>
      </c>
      <c r="B73" s="12" t="s">
        <v>36</v>
      </c>
      <c r="C73" s="12" t="s">
        <v>190</v>
      </c>
      <c r="D73" s="28" t="s">
        <v>327</v>
      </c>
      <c r="E73" s="28" t="s">
        <v>328</v>
      </c>
      <c r="F73" s="13">
        <v>2.0833333333333333E-3</v>
      </c>
      <c r="G73" s="12">
        <v>3</v>
      </c>
      <c r="H73" s="12" t="s">
        <v>1297</v>
      </c>
      <c r="I73" s="29" t="s">
        <v>329</v>
      </c>
      <c r="J73" s="12" t="s">
        <v>21</v>
      </c>
      <c r="K73" s="12" t="s">
        <v>33</v>
      </c>
      <c r="L73" s="33"/>
      <c r="M73" s="33"/>
      <c r="N73" s="33"/>
      <c r="O73" s="15" t="s">
        <v>111</v>
      </c>
    </row>
    <row r="74" spans="1:15" ht="72" x14ac:dyDescent="0.3">
      <c r="A74" s="12">
        <v>32</v>
      </c>
      <c r="B74" s="12" t="s">
        <v>23</v>
      </c>
      <c r="C74" s="12" t="s">
        <v>190</v>
      </c>
      <c r="D74" s="28" t="s">
        <v>330</v>
      </c>
      <c r="E74" s="28" t="s">
        <v>331</v>
      </c>
      <c r="F74" s="13">
        <v>8.2175925925925917E-4</v>
      </c>
      <c r="G74" s="12">
        <v>1</v>
      </c>
      <c r="H74" s="12" t="s">
        <v>332</v>
      </c>
      <c r="I74" s="29" t="s">
        <v>333</v>
      </c>
      <c r="J74" s="12" t="s">
        <v>334</v>
      </c>
      <c r="K74" s="12" t="s">
        <v>33</v>
      </c>
      <c r="L74" s="33"/>
      <c r="M74" s="33"/>
      <c r="N74" s="33"/>
      <c r="O74" s="15" t="s">
        <v>335</v>
      </c>
    </row>
    <row r="75" spans="1:15" ht="24" x14ac:dyDescent="0.3">
      <c r="A75" s="12">
        <v>33</v>
      </c>
      <c r="B75" s="16" t="s">
        <v>15</v>
      </c>
      <c r="C75" s="12" t="s">
        <v>190</v>
      </c>
      <c r="D75" s="28" t="s">
        <v>336</v>
      </c>
      <c r="E75" s="28" t="s">
        <v>337</v>
      </c>
      <c r="F75" s="13">
        <v>6.7928240740740733E-2</v>
      </c>
      <c r="G75" s="12">
        <v>98</v>
      </c>
      <c r="H75" s="12" t="s">
        <v>338</v>
      </c>
      <c r="I75" s="29" t="s">
        <v>339</v>
      </c>
      <c r="J75" s="12" t="s">
        <v>21</v>
      </c>
      <c r="K75" s="12" t="s">
        <v>22</v>
      </c>
      <c r="L75" s="33"/>
      <c r="M75" s="33"/>
      <c r="N75" s="33"/>
      <c r="O75" s="15"/>
    </row>
    <row r="76" spans="1:15" ht="24" x14ac:dyDescent="0.3">
      <c r="A76" s="12">
        <v>34</v>
      </c>
      <c r="B76" s="12" t="s">
        <v>36</v>
      </c>
      <c r="C76" s="12" t="s">
        <v>190</v>
      </c>
      <c r="D76" s="28" t="s">
        <v>340</v>
      </c>
      <c r="E76" s="28" t="s">
        <v>341</v>
      </c>
      <c r="F76" s="13">
        <v>7.2916666666666671E-2</v>
      </c>
      <c r="G76" s="12">
        <v>105</v>
      </c>
      <c r="H76" s="12" t="s">
        <v>39</v>
      </c>
      <c r="I76" s="29" t="s">
        <v>342</v>
      </c>
      <c r="J76" s="12" t="s">
        <v>174</v>
      </c>
      <c r="K76" s="12" t="s">
        <v>33</v>
      </c>
      <c r="L76" s="33"/>
      <c r="M76" s="33"/>
      <c r="N76" s="33"/>
      <c r="O76" s="15">
        <v>3129</v>
      </c>
    </row>
    <row r="77" spans="1:15" ht="48" x14ac:dyDescent="0.3">
      <c r="A77" s="12">
        <v>35</v>
      </c>
      <c r="B77" s="12" t="s">
        <v>23</v>
      </c>
      <c r="C77" s="12" t="s">
        <v>190</v>
      </c>
      <c r="D77" s="28" t="s">
        <v>343</v>
      </c>
      <c r="E77" s="28" t="s">
        <v>344</v>
      </c>
      <c r="F77" s="13">
        <v>1.157407408754807E-3</v>
      </c>
      <c r="G77" s="12">
        <v>2</v>
      </c>
      <c r="H77" s="12" t="s">
        <v>345</v>
      </c>
      <c r="I77" s="29" t="s">
        <v>346</v>
      </c>
      <c r="J77" s="12" t="s">
        <v>141</v>
      </c>
      <c r="K77" s="12" t="s">
        <v>33</v>
      </c>
      <c r="L77" s="33"/>
      <c r="M77" s="33"/>
      <c r="N77" s="33"/>
      <c r="O77" s="15" t="s">
        <v>347</v>
      </c>
    </row>
    <row r="78" spans="1:15" ht="24" x14ac:dyDescent="0.3">
      <c r="A78" s="12">
        <v>36</v>
      </c>
      <c r="B78" s="12" t="s">
        <v>23</v>
      </c>
      <c r="C78" s="12" t="s">
        <v>190</v>
      </c>
      <c r="D78" s="28" t="s">
        <v>343</v>
      </c>
      <c r="E78" s="28" t="s">
        <v>344</v>
      </c>
      <c r="F78" s="13">
        <v>1.157407408754807E-3</v>
      </c>
      <c r="G78" s="12">
        <v>2</v>
      </c>
      <c r="H78" s="12" t="s">
        <v>348</v>
      </c>
      <c r="I78" s="29" t="s">
        <v>346</v>
      </c>
      <c r="J78" s="12" t="s">
        <v>141</v>
      </c>
      <c r="K78" s="12" t="s">
        <v>175</v>
      </c>
      <c r="L78" s="33"/>
      <c r="M78" s="33"/>
      <c r="N78" s="33"/>
      <c r="O78" s="15" t="s">
        <v>349</v>
      </c>
    </row>
    <row r="79" spans="1:15" ht="36" x14ac:dyDescent="0.3">
      <c r="A79" s="12">
        <v>37</v>
      </c>
      <c r="B79" s="12" t="s">
        <v>23</v>
      </c>
      <c r="C79" s="12" t="s">
        <v>190</v>
      </c>
      <c r="D79" s="28" t="s">
        <v>350</v>
      </c>
      <c r="E79" s="28" t="s">
        <v>351</v>
      </c>
      <c r="F79" s="13">
        <v>7.6388888555811718E-4</v>
      </c>
      <c r="G79" s="12">
        <v>1</v>
      </c>
      <c r="H79" s="12" t="s">
        <v>352</v>
      </c>
      <c r="I79" s="29" t="s">
        <v>353</v>
      </c>
      <c r="J79" s="12" t="s">
        <v>141</v>
      </c>
      <c r="K79" s="12" t="s">
        <v>33</v>
      </c>
      <c r="L79" s="33"/>
      <c r="M79" s="33"/>
      <c r="N79" s="33"/>
      <c r="O79" s="15" t="s">
        <v>354</v>
      </c>
    </row>
    <row r="80" spans="1:15" ht="36" x14ac:dyDescent="0.3">
      <c r="A80" s="12">
        <v>38</v>
      </c>
      <c r="B80" s="12" t="s">
        <v>23</v>
      </c>
      <c r="C80" s="12" t="s">
        <v>190</v>
      </c>
      <c r="D80" s="28" t="s">
        <v>355</v>
      </c>
      <c r="E80" s="28" t="s">
        <v>356</v>
      </c>
      <c r="F80" s="13">
        <v>1.4467592592592594E-3</v>
      </c>
      <c r="G80" s="12">
        <v>2</v>
      </c>
      <c r="H80" s="12" t="s">
        <v>1306</v>
      </c>
      <c r="I80" s="29" t="s">
        <v>357</v>
      </c>
      <c r="J80" s="12" t="s">
        <v>141</v>
      </c>
      <c r="K80" s="12" t="s">
        <v>33</v>
      </c>
      <c r="L80" s="33"/>
      <c r="M80" s="33"/>
      <c r="N80" s="33"/>
      <c r="O80" s="15" t="s">
        <v>358</v>
      </c>
    </row>
    <row r="81" spans="1:15" ht="36" x14ac:dyDescent="0.3">
      <c r="A81" s="12">
        <v>39</v>
      </c>
      <c r="B81" s="12" t="s">
        <v>23</v>
      </c>
      <c r="C81" s="12" t="s">
        <v>190</v>
      </c>
      <c r="D81" s="28" t="s">
        <v>359</v>
      </c>
      <c r="E81" s="28" t="s">
        <v>360</v>
      </c>
      <c r="F81" s="13">
        <v>1.1574076779652387E-5</v>
      </c>
      <c r="G81" s="12">
        <v>0</v>
      </c>
      <c r="H81" s="12" t="s">
        <v>146</v>
      </c>
      <c r="I81" s="29" t="s">
        <v>361</v>
      </c>
      <c r="J81" s="12" t="s">
        <v>141</v>
      </c>
      <c r="K81" s="12" t="s">
        <v>33</v>
      </c>
      <c r="L81" s="33"/>
      <c r="M81" s="33"/>
      <c r="N81" s="33"/>
      <c r="O81" s="15" t="s">
        <v>149</v>
      </c>
    </row>
    <row r="82" spans="1:15" ht="48" x14ac:dyDescent="0.3">
      <c r="A82" s="12">
        <v>40</v>
      </c>
      <c r="B82" s="12" t="s">
        <v>23</v>
      </c>
      <c r="C82" s="12" t="s">
        <v>190</v>
      </c>
      <c r="D82" s="28" t="s">
        <v>362</v>
      </c>
      <c r="E82" s="28" t="s">
        <v>363</v>
      </c>
      <c r="F82" s="13">
        <v>5.5555555555555558E-3</v>
      </c>
      <c r="G82" s="12">
        <v>8</v>
      </c>
      <c r="H82" s="12" t="s">
        <v>364</v>
      </c>
      <c r="I82" s="29" t="s">
        <v>365</v>
      </c>
      <c r="J82" s="12" t="s">
        <v>141</v>
      </c>
      <c r="K82" s="12" t="s">
        <v>33</v>
      </c>
      <c r="L82" s="33"/>
      <c r="M82" s="33"/>
      <c r="N82" s="33"/>
      <c r="O82" s="15" t="s">
        <v>366</v>
      </c>
    </row>
    <row r="83" spans="1:15" ht="60" x14ac:dyDescent="0.3">
      <c r="A83" s="12">
        <v>41</v>
      </c>
      <c r="B83" s="12" t="s">
        <v>23</v>
      </c>
      <c r="C83" s="12" t="s">
        <v>190</v>
      </c>
      <c r="D83" s="28" t="s">
        <v>367</v>
      </c>
      <c r="E83" s="28" t="s">
        <v>368</v>
      </c>
      <c r="F83" s="13">
        <v>1.3888888888888889E-3</v>
      </c>
      <c r="G83" s="12">
        <v>2</v>
      </c>
      <c r="H83" s="12" t="s">
        <v>1307</v>
      </c>
      <c r="I83" s="29" t="s">
        <v>369</v>
      </c>
      <c r="J83" s="12" t="s">
        <v>21</v>
      </c>
      <c r="K83" s="12" t="s">
        <v>33</v>
      </c>
      <c r="L83" s="33"/>
      <c r="M83" s="33"/>
      <c r="N83" s="33"/>
      <c r="O83" s="15" t="s">
        <v>370</v>
      </c>
    </row>
    <row r="84" spans="1:15" ht="36" x14ac:dyDescent="0.3">
      <c r="A84" s="12">
        <v>42</v>
      </c>
      <c r="B84" s="12" t="s">
        <v>23</v>
      </c>
      <c r="C84" s="12" t="s">
        <v>190</v>
      </c>
      <c r="D84" s="28" t="s">
        <v>367</v>
      </c>
      <c r="E84" s="28" t="s">
        <v>368</v>
      </c>
      <c r="F84" s="13">
        <v>1.3888888888888889E-3</v>
      </c>
      <c r="G84" s="12">
        <v>2</v>
      </c>
      <c r="H84" s="12" t="s">
        <v>1302</v>
      </c>
      <c r="I84" s="29" t="s">
        <v>371</v>
      </c>
      <c r="J84" s="12" t="s">
        <v>21</v>
      </c>
      <c r="K84" s="12" t="s">
        <v>33</v>
      </c>
      <c r="L84" s="33"/>
      <c r="M84" s="33"/>
      <c r="N84" s="33"/>
      <c r="O84" s="15" t="s">
        <v>372</v>
      </c>
    </row>
    <row r="85" spans="1:15" ht="84" x14ac:dyDescent="0.3">
      <c r="A85" s="12">
        <v>43</v>
      </c>
      <c r="B85" s="12" t="s">
        <v>23</v>
      </c>
      <c r="C85" s="12" t="s">
        <v>190</v>
      </c>
      <c r="D85" s="28" t="s">
        <v>373</v>
      </c>
      <c r="E85" s="28" t="s">
        <v>374</v>
      </c>
      <c r="F85" s="13">
        <v>4.8611111111111112E-3</v>
      </c>
      <c r="G85" s="12">
        <v>7</v>
      </c>
      <c r="H85" s="12" t="s">
        <v>1308</v>
      </c>
      <c r="I85" s="29" t="s">
        <v>375</v>
      </c>
      <c r="J85" s="12" t="s">
        <v>21</v>
      </c>
      <c r="K85" s="12" t="s">
        <v>33</v>
      </c>
      <c r="L85" s="33"/>
      <c r="M85" s="33"/>
      <c r="N85" s="33"/>
      <c r="O85" s="15" t="s">
        <v>376</v>
      </c>
    </row>
    <row r="86" spans="1:15" ht="96" x14ac:dyDescent="0.3">
      <c r="A86" s="12">
        <v>44</v>
      </c>
      <c r="B86" s="12" t="s">
        <v>36</v>
      </c>
      <c r="C86" s="12" t="s">
        <v>190</v>
      </c>
      <c r="D86" s="28" t="s">
        <v>373</v>
      </c>
      <c r="E86" s="28" t="s">
        <v>377</v>
      </c>
      <c r="F86" s="13">
        <v>3.4027777777777775E-2</v>
      </c>
      <c r="G86" s="12">
        <v>49</v>
      </c>
      <c r="H86" s="12" t="s">
        <v>1305</v>
      </c>
      <c r="I86" s="29" t="s">
        <v>378</v>
      </c>
      <c r="J86" s="12" t="s">
        <v>21</v>
      </c>
      <c r="K86" s="12" t="s">
        <v>33</v>
      </c>
      <c r="L86" s="33"/>
      <c r="M86" s="33"/>
      <c r="N86" s="33"/>
      <c r="O86" s="15" t="s">
        <v>229</v>
      </c>
    </row>
    <row r="87" spans="1:15" ht="72" x14ac:dyDescent="0.3">
      <c r="A87" s="12">
        <v>45</v>
      </c>
      <c r="B87" s="12" t="s">
        <v>23</v>
      </c>
      <c r="C87" s="12" t="s">
        <v>190</v>
      </c>
      <c r="D87" s="28" t="s">
        <v>379</v>
      </c>
      <c r="E87" s="28" t="s">
        <v>380</v>
      </c>
      <c r="F87" s="13">
        <v>2.0833333333333335E-4</v>
      </c>
      <c r="G87" s="12">
        <v>0</v>
      </c>
      <c r="H87" s="12" t="s">
        <v>1309</v>
      </c>
      <c r="I87" s="29" t="s">
        <v>381</v>
      </c>
      <c r="J87" s="12" t="s">
        <v>21</v>
      </c>
      <c r="K87" s="12" t="s">
        <v>33</v>
      </c>
      <c r="L87" s="33"/>
      <c r="M87" s="33"/>
      <c r="N87" s="33"/>
      <c r="O87" s="15" t="s">
        <v>382</v>
      </c>
    </row>
    <row r="88" spans="1:15" ht="23.15" customHeight="1" x14ac:dyDescent="0.3">
      <c r="A88" s="12">
        <v>46</v>
      </c>
      <c r="B88" s="16" t="s">
        <v>15</v>
      </c>
      <c r="C88" s="12" t="s">
        <v>190</v>
      </c>
      <c r="D88" s="28" t="s">
        <v>383</v>
      </c>
      <c r="E88" s="28" t="s">
        <v>384</v>
      </c>
      <c r="F88" s="13">
        <v>1.3773148148148147E-2</v>
      </c>
      <c r="G88" s="12">
        <v>20</v>
      </c>
      <c r="H88" s="12" t="s">
        <v>385</v>
      </c>
      <c r="I88" s="29" t="s">
        <v>386</v>
      </c>
      <c r="J88" s="12" t="s">
        <v>302</v>
      </c>
      <c r="K88" s="12" t="s">
        <v>33</v>
      </c>
      <c r="L88" s="33"/>
      <c r="M88" s="33"/>
      <c r="N88" s="33"/>
      <c r="O88" s="15" t="s">
        <v>387</v>
      </c>
    </row>
    <row r="89" spans="1:15" ht="24" x14ac:dyDescent="0.3">
      <c r="A89" s="12">
        <v>47</v>
      </c>
      <c r="B89" s="16" t="s">
        <v>15</v>
      </c>
      <c r="C89" s="12" t="s">
        <v>190</v>
      </c>
      <c r="D89" s="28" t="s">
        <v>383</v>
      </c>
      <c r="E89" s="28" t="s">
        <v>388</v>
      </c>
      <c r="F89" s="13">
        <v>2.7777777777777776E-2</v>
      </c>
      <c r="G89" s="12">
        <v>40</v>
      </c>
      <c r="H89" s="12" t="s">
        <v>389</v>
      </c>
      <c r="I89" s="29" t="s">
        <v>390</v>
      </c>
      <c r="J89" s="12" t="s">
        <v>302</v>
      </c>
      <c r="K89" s="12" t="s">
        <v>33</v>
      </c>
      <c r="L89" s="33"/>
      <c r="M89" s="33"/>
      <c r="N89" s="33"/>
      <c r="O89" s="15" t="s">
        <v>391</v>
      </c>
    </row>
    <row r="90" spans="1:15" ht="24" x14ac:dyDescent="0.3">
      <c r="A90" s="12">
        <v>48</v>
      </c>
      <c r="B90" s="16" t="s">
        <v>15</v>
      </c>
      <c r="C90" s="12" t="s">
        <v>190</v>
      </c>
      <c r="D90" s="28" t="s">
        <v>392</v>
      </c>
      <c r="E90" s="28" t="s">
        <v>393</v>
      </c>
      <c r="F90" s="13">
        <v>6.1504629629629631E-2</v>
      </c>
      <c r="G90" s="12">
        <v>89</v>
      </c>
      <c r="H90" s="12" t="s">
        <v>338</v>
      </c>
      <c r="I90" s="29" t="s">
        <v>394</v>
      </c>
      <c r="J90" s="12" t="s">
        <v>21</v>
      </c>
      <c r="K90" s="12" t="s">
        <v>22</v>
      </c>
      <c r="L90" s="33"/>
      <c r="M90" s="33"/>
      <c r="N90" s="33"/>
      <c r="O90" s="15"/>
    </row>
    <row r="91" spans="1:15" ht="48" x14ac:dyDescent="0.3">
      <c r="A91" s="12">
        <v>1</v>
      </c>
      <c r="B91" s="40" t="s">
        <v>23</v>
      </c>
      <c r="C91" s="39" t="s">
        <v>395</v>
      </c>
      <c r="D91" s="28" t="s">
        <v>396</v>
      </c>
      <c r="E91" s="28" t="s">
        <v>397</v>
      </c>
      <c r="F91" s="13">
        <v>1.3425925925925925E-3</v>
      </c>
      <c r="G91" s="12">
        <v>2</v>
      </c>
      <c r="H91" s="12" t="s">
        <v>1310</v>
      </c>
      <c r="I91" s="29" t="s">
        <v>398</v>
      </c>
      <c r="J91" s="12" t="s">
        <v>21</v>
      </c>
      <c r="K91" s="12" t="s">
        <v>33</v>
      </c>
      <c r="L91" s="33"/>
      <c r="M91" s="33"/>
      <c r="N91" s="33"/>
      <c r="O91" s="12" t="s">
        <v>399</v>
      </c>
    </row>
    <row r="92" spans="1:15" ht="24" x14ac:dyDescent="0.3">
      <c r="A92" s="12">
        <v>2</v>
      </c>
      <c r="B92" s="43" t="s">
        <v>15</v>
      </c>
      <c r="C92" s="39" t="s">
        <v>395</v>
      </c>
      <c r="D92" s="28" t="s">
        <v>400</v>
      </c>
      <c r="E92" s="28" t="s">
        <v>401</v>
      </c>
      <c r="F92" s="13">
        <v>0.35555555555555557</v>
      </c>
      <c r="G92" s="12">
        <v>512</v>
      </c>
      <c r="H92" s="12" t="s">
        <v>1286</v>
      </c>
      <c r="I92" s="29" t="s">
        <v>402</v>
      </c>
      <c r="J92" s="12" t="s">
        <v>21</v>
      </c>
      <c r="K92" s="12" t="s">
        <v>22</v>
      </c>
      <c r="L92" s="33"/>
      <c r="M92" s="33"/>
      <c r="N92" s="33"/>
      <c r="O92" s="12"/>
    </row>
    <row r="93" spans="1:15" ht="24" x14ac:dyDescent="0.3">
      <c r="A93" s="12">
        <v>3</v>
      </c>
      <c r="B93" s="43" t="s">
        <v>15</v>
      </c>
      <c r="C93" s="39" t="s">
        <v>395</v>
      </c>
      <c r="D93" s="28" t="s">
        <v>400</v>
      </c>
      <c r="E93" s="28" t="s">
        <v>401</v>
      </c>
      <c r="F93" s="13">
        <v>0.35555555555555557</v>
      </c>
      <c r="G93" s="12">
        <v>512</v>
      </c>
      <c r="H93" s="12" t="s">
        <v>1287</v>
      </c>
      <c r="I93" s="29" t="s">
        <v>402</v>
      </c>
      <c r="J93" s="12" t="s">
        <v>21</v>
      </c>
      <c r="K93" s="12" t="s">
        <v>22</v>
      </c>
      <c r="L93" s="33"/>
      <c r="M93" s="33"/>
      <c r="N93" s="33"/>
      <c r="O93" s="12"/>
    </row>
    <row r="94" spans="1:15" ht="24" x14ac:dyDescent="0.3">
      <c r="A94" s="12">
        <v>4</v>
      </c>
      <c r="B94" s="43" t="s">
        <v>15</v>
      </c>
      <c r="C94" s="39" t="s">
        <v>395</v>
      </c>
      <c r="D94" s="28" t="s">
        <v>400</v>
      </c>
      <c r="E94" s="28" t="s">
        <v>401</v>
      </c>
      <c r="F94" s="13">
        <v>0.35555555555555557</v>
      </c>
      <c r="G94" s="12">
        <v>512</v>
      </c>
      <c r="H94" s="12" t="s">
        <v>1288</v>
      </c>
      <c r="I94" s="29" t="s">
        <v>402</v>
      </c>
      <c r="J94" s="12" t="s">
        <v>21</v>
      </c>
      <c r="K94" s="12" t="s">
        <v>22</v>
      </c>
      <c r="L94" s="33"/>
      <c r="M94" s="33"/>
      <c r="N94" s="33"/>
      <c r="O94" s="12"/>
    </row>
    <row r="95" spans="1:15" ht="24" x14ac:dyDescent="0.3">
      <c r="A95" s="12">
        <v>5</v>
      </c>
      <c r="B95" s="43" t="s">
        <v>15</v>
      </c>
      <c r="C95" s="39" t="s">
        <v>395</v>
      </c>
      <c r="D95" s="28" t="s">
        <v>403</v>
      </c>
      <c r="E95" s="28" t="s">
        <v>404</v>
      </c>
      <c r="F95" s="13">
        <v>0.35555555555555557</v>
      </c>
      <c r="G95" s="12">
        <v>512</v>
      </c>
      <c r="H95" s="12" t="s">
        <v>1289</v>
      </c>
      <c r="I95" s="29" t="s">
        <v>402</v>
      </c>
      <c r="J95" s="12" t="s">
        <v>21</v>
      </c>
      <c r="K95" s="12" t="s">
        <v>22</v>
      </c>
      <c r="L95" s="33"/>
      <c r="M95" s="33"/>
      <c r="N95" s="33"/>
      <c r="O95" s="12"/>
    </row>
    <row r="96" spans="1:15" ht="36" x14ac:dyDescent="0.3">
      <c r="A96" s="12">
        <v>6</v>
      </c>
      <c r="B96" s="40" t="s">
        <v>23</v>
      </c>
      <c r="C96" s="39" t="s">
        <v>395</v>
      </c>
      <c r="D96" s="28" t="s">
        <v>405</v>
      </c>
      <c r="E96" s="28" t="s">
        <v>406</v>
      </c>
      <c r="F96" s="13">
        <v>6.9444444444444447E-4</v>
      </c>
      <c r="G96" s="12">
        <v>1</v>
      </c>
      <c r="H96" s="12" t="s">
        <v>407</v>
      </c>
      <c r="I96" s="29" t="s">
        <v>408</v>
      </c>
      <c r="J96" s="12" t="s">
        <v>21</v>
      </c>
      <c r="K96" s="12" t="s">
        <v>33</v>
      </c>
      <c r="L96" s="33"/>
      <c r="M96" s="33"/>
      <c r="N96" s="33"/>
      <c r="O96" s="12"/>
    </row>
    <row r="97" spans="1:15" ht="72" x14ac:dyDescent="0.3">
      <c r="A97" s="12">
        <v>7</v>
      </c>
      <c r="B97" s="40" t="s">
        <v>23</v>
      </c>
      <c r="C97" s="39" t="s">
        <v>395</v>
      </c>
      <c r="D97" s="28" t="s">
        <v>409</v>
      </c>
      <c r="E97" s="28" t="s">
        <v>410</v>
      </c>
      <c r="F97" s="13">
        <v>1.3888888888888889E-3</v>
      </c>
      <c r="G97" s="12">
        <v>2</v>
      </c>
      <c r="H97" s="12" t="s">
        <v>411</v>
      </c>
      <c r="I97" s="29" t="s">
        <v>412</v>
      </c>
      <c r="J97" s="12" t="s">
        <v>21</v>
      </c>
      <c r="K97" s="12" t="s">
        <v>33</v>
      </c>
      <c r="L97" s="33"/>
      <c r="M97" s="33"/>
      <c r="N97" s="33"/>
      <c r="O97" s="12"/>
    </row>
    <row r="98" spans="1:15" ht="24" x14ac:dyDescent="0.3">
      <c r="A98" s="12">
        <v>8</v>
      </c>
      <c r="B98" s="40" t="s">
        <v>23</v>
      </c>
      <c r="C98" s="39" t="s">
        <v>395</v>
      </c>
      <c r="D98" s="28" t="s">
        <v>409</v>
      </c>
      <c r="E98" s="28" t="s">
        <v>410</v>
      </c>
      <c r="F98" s="13">
        <v>1.3888888888888889E-3</v>
      </c>
      <c r="G98" s="12">
        <v>2</v>
      </c>
      <c r="H98" s="12" t="s">
        <v>348</v>
      </c>
      <c r="I98" s="29" t="s">
        <v>413</v>
      </c>
      <c r="J98" s="12" t="s">
        <v>21</v>
      </c>
      <c r="K98" s="12" t="s">
        <v>175</v>
      </c>
      <c r="L98" s="33"/>
      <c r="M98" s="33"/>
      <c r="N98" s="33"/>
      <c r="O98" s="12"/>
    </row>
    <row r="99" spans="1:15" ht="72" x14ac:dyDescent="0.3">
      <c r="A99" s="12">
        <v>9</v>
      </c>
      <c r="B99" s="40" t="s">
        <v>23</v>
      </c>
      <c r="C99" s="39" t="s">
        <v>395</v>
      </c>
      <c r="D99" s="28" t="s">
        <v>414</v>
      </c>
      <c r="E99" s="28" t="s">
        <v>415</v>
      </c>
      <c r="F99" s="13">
        <v>1.1574074074074073E-3</v>
      </c>
      <c r="G99" s="12">
        <v>2</v>
      </c>
      <c r="H99" s="12" t="s">
        <v>411</v>
      </c>
      <c r="I99" s="29" t="s">
        <v>416</v>
      </c>
      <c r="J99" s="12" t="s">
        <v>21</v>
      </c>
      <c r="K99" s="12" t="s">
        <v>33</v>
      </c>
      <c r="L99" s="33"/>
      <c r="M99" s="33"/>
      <c r="N99" s="33"/>
      <c r="O99" s="12"/>
    </row>
    <row r="100" spans="1:15" ht="36" x14ac:dyDescent="0.3">
      <c r="A100" s="12">
        <v>10</v>
      </c>
      <c r="B100" s="40" t="s">
        <v>23</v>
      </c>
      <c r="C100" s="39" t="s">
        <v>395</v>
      </c>
      <c r="D100" s="28" t="s">
        <v>414</v>
      </c>
      <c r="E100" s="28" t="s">
        <v>415</v>
      </c>
      <c r="F100" s="13">
        <v>1.1574074074074073E-3</v>
      </c>
      <c r="G100" s="12">
        <v>2</v>
      </c>
      <c r="H100" s="12" t="s">
        <v>348</v>
      </c>
      <c r="I100" s="29" t="s">
        <v>416</v>
      </c>
      <c r="J100" s="12" t="s">
        <v>21</v>
      </c>
      <c r="K100" s="12" t="s">
        <v>175</v>
      </c>
      <c r="L100" s="33"/>
      <c r="M100" s="33"/>
      <c r="N100" s="33"/>
      <c r="O100" s="12" t="s">
        <v>417</v>
      </c>
    </row>
    <row r="101" spans="1:15" ht="24" x14ac:dyDescent="0.3">
      <c r="A101" s="12">
        <v>11</v>
      </c>
      <c r="B101" s="40" t="s">
        <v>23</v>
      </c>
      <c r="C101" s="39" t="s">
        <v>395</v>
      </c>
      <c r="D101" s="28" t="s">
        <v>418</v>
      </c>
      <c r="E101" s="28" t="s">
        <v>419</v>
      </c>
      <c r="F101" s="13">
        <v>6.9444444444444447E-4</v>
      </c>
      <c r="G101" s="12">
        <v>1</v>
      </c>
      <c r="H101" s="12" t="s">
        <v>1298</v>
      </c>
      <c r="I101" s="29" t="s">
        <v>420</v>
      </c>
      <c r="J101" s="12" t="s">
        <v>21</v>
      </c>
      <c r="K101" s="12" t="s">
        <v>33</v>
      </c>
      <c r="L101" s="33"/>
      <c r="M101" s="33"/>
      <c r="N101" s="33"/>
      <c r="O101" s="12" t="s">
        <v>111</v>
      </c>
    </row>
    <row r="102" spans="1:15" ht="24" x14ac:dyDescent="0.3">
      <c r="A102" s="12">
        <v>12</v>
      </c>
      <c r="B102" s="40" t="s">
        <v>36</v>
      </c>
      <c r="C102" s="39" t="s">
        <v>395</v>
      </c>
      <c r="D102" s="28" t="s">
        <v>421</v>
      </c>
      <c r="E102" s="28" t="s">
        <v>422</v>
      </c>
      <c r="F102" s="13">
        <v>8.2638888888888887E-2</v>
      </c>
      <c r="G102" s="12">
        <v>119</v>
      </c>
      <c r="H102" s="12" t="s">
        <v>39</v>
      </c>
      <c r="I102" s="29" t="s">
        <v>423</v>
      </c>
      <c r="J102" s="12" t="s">
        <v>174</v>
      </c>
      <c r="K102" s="12" t="s">
        <v>33</v>
      </c>
      <c r="L102" s="33"/>
      <c r="M102" s="33"/>
      <c r="N102" s="33"/>
      <c r="O102" s="12"/>
    </row>
    <row r="103" spans="1:15" ht="24" x14ac:dyDescent="0.3">
      <c r="A103" s="12">
        <v>13</v>
      </c>
      <c r="B103" s="40" t="s">
        <v>36</v>
      </c>
      <c r="C103" s="39" t="s">
        <v>395</v>
      </c>
      <c r="D103" s="13" t="s">
        <v>424</v>
      </c>
      <c r="E103" s="13" t="s">
        <v>425</v>
      </c>
      <c r="F103" s="13">
        <v>6.3425925925925915E-3</v>
      </c>
      <c r="G103" s="12">
        <v>9</v>
      </c>
      <c r="H103" s="12" t="s">
        <v>426</v>
      </c>
      <c r="I103" s="29" t="s">
        <v>427</v>
      </c>
      <c r="J103" s="12" t="s">
        <v>302</v>
      </c>
      <c r="K103" s="12" t="s">
        <v>175</v>
      </c>
      <c r="L103" s="33"/>
      <c r="M103" s="33"/>
      <c r="N103" s="33"/>
      <c r="O103" s="12" t="s">
        <v>176</v>
      </c>
    </row>
    <row r="104" spans="1:15" ht="24" x14ac:dyDescent="0.3">
      <c r="A104" s="12">
        <v>14</v>
      </c>
      <c r="B104" s="40" t="s">
        <v>23</v>
      </c>
      <c r="C104" s="39" t="s">
        <v>395</v>
      </c>
      <c r="D104" s="28" t="s">
        <v>428</v>
      </c>
      <c r="E104" s="28" t="s">
        <v>429</v>
      </c>
      <c r="F104" s="13">
        <v>3.4953703725477681E-3</v>
      </c>
      <c r="G104" s="12">
        <v>5</v>
      </c>
      <c r="H104" s="12" t="s">
        <v>218</v>
      </c>
      <c r="I104" s="29" t="s">
        <v>430</v>
      </c>
      <c r="J104" s="12" t="s">
        <v>21</v>
      </c>
      <c r="K104" s="12" t="s">
        <v>33</v>
      </c>
      <c r="L104" s="33"/>
      <c r="M104" s="33"/>
      <c r="N104" s="33"/>
      <c r="O104" s="12" t="s">
        <v>220</v>
      </c>
    </row>
    <row r="105" spans="1:15" ht="24" x14ac:dyDescent="0.3">
      <c r="A105" s="12">
        <v>15</v>
      </c>
      <c r="B105" s="40" t="s">
        <v>23</v>
      </c>
      <c r="C105" s="39" t="s">
        <v>395</v>
      </c>
      <c r="D105" s="28" t="s">
        <v>431</v>
      </c>
      <c r="E105" s="28" t="s">
        <v>432</v>
      </c>
      <c r="F105" s="13">
        <v>2.6041666666666665E-3</v>
      </c>
      <c r="G105" s="12">
        <v>4</v>
      </c>
      <c r="H105" s="12" t="s">
        <v>1311</v>
      </c>
      <c r="I105" s="29" t="s">
        <v>433</v>
      </c>
      <c r="J105" s="12" t="s">
        <v>21</v>
      </c>
      <c r="K105" s="12" t="s">
        <v>33</v>
      </c>
      <c r="L105" s="33"/>
      <c r="M105" s="33"/>
      <c r="N105" s="33"/>
      <c r="O105" s="12" t="s">
        <v>434</v>
      </c>
    </row>
    <row r="106" spans="1:15" ht="24" x14ac:dyDescent="0.3">
      <c r="A106" s="12">
        <v>16</v>
      </c>
      <c r="B106" s="40" t="s">
        <v>23</v>
      </c>
      <c r="C106" s="39" t="s">
        <v>395</v>
      </c>
      <c r="D106" s="28" t="s">
        <v>431</v>
      </c>
      <c r="E106" s="28" t="s">
        <v>432</v>
      </c>
      <c r="F106" s="13">
        <v>2.6041666642413475E-3</v>
      </c>
      <c r="G106" s="12">
        <v>4</v>
      </c>
      <c r="H106" s="12" t="s">
        <v>435</v>
      </c>
      <c r="I106" s="29" t="s">
        <v>436</v>
      </c>
      <c r="J106" s="12" t="s">
        <v>21</v>
      </c>
      <c r="K106" s="12" t="s">
        <v>33</v>
      </c>
      <c r="L106" s="33"/>
      <c r="M106" s="33"/>
      <c r="N106" s="33"/>
      <c r="O106" s="12" t="s">
        <v>437</v>
      </c>
    </row>
    <row r="107" spans="1:15" ht="48" x14ac:dyDescent="0.3">
      <c r="A107" s="12">
        <v>17</v>
      </c>
      <c r="B107" s="40" t="s">
        <v>23</v>
      </c>
      <c r="C107" s="39" t="s">
        <v>395</v>
      </c>
      <c r="D107" s="28" t="s">
        <v>438</v>
      </c>
      <c r="E107" s="28" t="s">
        <v>439</v>
      </c>
      <c r="F107" s="13">
        <v>6.9444444379769266E-3</v>
      </c>
      <c r="G107" s="12">
        <v>10</v>
      </c>
      <c r="H107" s="12" t="s">
        <v>1428</v>
      </c>
      <c r="I107" s="29" t="s">
        <v>440</v>
      </c>
      <c r="J107" s="12" t="s">
        <v>148</v>
      </c>
      <c r="K107" s="12" t="s">
        <v>33</v>
      </c>
      <c r="L107" s="33"/>
      <c r="M107" s="33"/>
      <c r="N107" s="33"/>
      <c r="O107" s="12" t="s">
        <v>441</v>
      </c>
    </row>
    <row r="108" spans="1:15" ht="48" x14ac:dyDescent="0.3">
      <c r="A108" s="12">
        <v>18</v>
      </c>
      <c r="B108" s="40" t="s">
        <v>23</v>
      </c>
      <c r="C108" s="39" t="s">
        <v>395</v>
      </c>
      <c r="D108" s="28" t="s">
        <v>438</v>
      </c>
      <c r="E108" s="28" t="s">
        <v>442</v>
      </c>
      <c r="F108" s="13">
        <v>1.6666666662786156E-2</v>
      </c>
      <c r="G108" s="12">
        <v>24</v>
      </c>
      <c r="H108" s="12" t="s">
        <v>1435</v>
      </c>
      <c r="I108" s="29" t="s">
        <v>443</v>
      </c>
      <c r="J108" s="12" t="s">
        <v>148</v>
      </c>
      <c r="K108" s="12" t="s">
        <v>33</v>
      </c>
      <c r="L108" s="33"/>
      <c r="M108" s="33"/>
      <c r="N108" s="33"/>
      <c r="O108" s="12" t="s">
        <v>444</v>
      </c>
    </row>
    <row r="109" spans="1:15" ht="48" x14ac:dyDescent="0.3">
      <c r="A109" s="12">
        <v>19</v>
      </c>
      <c r="B109" s="40" t="s">
        <v>23</v>
      </c>
      <c r="C109" s="39" t="s">
        <v>395</v>
      </c>
      <c r="D109" s="28" t="s">
        <v>445</v>
      </c>
      <c r="E109" s="28" t="s">
        <v>446</v>
      </c>
      <c r="F109" s="13">
        <v>7.6388888919609599E-3</v>
      </c>
      <c r="G109" s="12">
        <v>11</v>
      </c>
      <c r="H109" s="12" t="s">
        <v>1429</v>
      </c>
      <c r="I109" s="29" t="s">
        <v>440</v>
      </c>
      <c r="J109" s="12" t="s">
        <v>148</v>
      </c>
      <c r="K109" s="12" t="s">
        <v>33</v>
      </c>
      <c r="L109" s="33"/>
      <c r="M109" s="33"/>
      <c r="N109" s="33"/>
      <c r="O109" s="12" t="s">
        <v>441</v>
      </c>
    </row>
    <row r="110" spans="1:15" ht="48" x14ac:dyDescent="0.3">
      <c r="A110" s="12">
        <v>20</v>
      </c>
      <c r="B110" s="40" t="s">
        <v>23</v>
      </c>
      <c r="C110" s="39" t="s">
        <v>395</v>
      </c>
      <c r="D110" s="28" t="s">
        <v>445</v>
      </c>
      <c r="E110" s="28" t="s">
        <v>447</v>
      </c>
      <c r="F110" s="13">
        <v>3.2638888893416151E-2</v>
      </c>
      <c r="G110" s="12">
        <v>47</v>
      </c>
      <c r="H110" s="12" t="s">
        <v>1435</v>
      </c>
      <c r="I110" s="29" t="s">
        <v>443</v>
      </c>
      <c r="J110" s="12" t="s">
        <v>148</v>
      </c>
      <c r="K110" s="12" t="s">
        <v>33</v>
      </c>
      <c r="L110" s="33"/>
      <c r="M110" s="33"/>
      <c r="N110" s="33"/>
      <c r="O110" s="12" t="s">
        <v>444</v>
      </c>
    </row>
    <row r="111" spans="1:15" ht="36" x14ac:dyDescent="0.3">
      <c r="A111" s="12">
        <v>21</v>
      </c>
      <c r="B111" s="40" t="s">
        <v>23</v>
      </c>
      <c r="C111" s="39" t="s">
        <v>395</v>
      </c>
      <c r="D111" s="28" t="s">
        <v>448</v>
      </c>
      <c r="E111" s="28" t="s">
        <v>449</v>
      </c>
      <c r="F111" s="13">
        <v>7.6388888919609599E-3</v>
      </c>
      <c r="G111" s="12">
        <v>11</v>
      </c>
      <c r="H111" s="12" t="s">
        <v>450</v>
      </c>
      <c r="I111" s="29" t="s">
        <v>440</v>
      </c>
      <c r="J111" s="12" t="s">
        <v>148</v>
      </c>
      <c r="K111" s="12" t="s">
        <v>33</v>
      </c>
      <c r="L111" s="33"/>
      <c r="M111" s="33"/>
      <c r="N111" s="33"/>
      <c r="O111" s="12" t="s">
        <v>451</v>
      </c>
    </row>
    <row r="112" spans="1:15" ht="60" x14ac:dyDescent="0.3">
      <c r="A112" s="12">
        <v>22</v>
      </c>
      <c r="B112" s="40" t="s">
        <v>23</v>
      </c>
      <c r="C112" s="39" t="s">
        <v>395</v>
      </c>
      <c r="D112" s="28" t="s">
        <v>448</v>
      </c>
      <c r="E112" s="28" t="s">
        <v>452</v>
      </c>
      <c r="F112" s="13">
        <v>1.3888888890505768E-2</v>
      </c>
      <c r="G112" s="12">
        <v>20</v>
      </c>
      <c r="H112" s="12" t="s">
        <v>453</v>
      </c>
      <c r="I112" s="29" t="s">
        <v>443</v>
      </c>
      <c r="J112" s="12" t="s">
        <v>148</v>
      </c>
      <c r="K112" s="12" t="s">
        <v>33</v>
      </c>
      <c r="L112" s="33"/>
      <c r="M112" s="33"/>
      <c r="N112" s="33"/>
      <c r="O112" s="12" t="s">
        <v>454</v>
      </c>
    </row>
    <row r="113" spans="1:15" ht="24" x14ac:dyDescent="0.3">
      <c r="A113" s="12">
        <v>23</v>
      </c>
      <c r="B113" s="40" t="s">
        <v>23</v>
      </c>
      <c r="C113" s="39" t="s">
        <v>395</v>
      </c>
      <c r="D113" s="28" t="s">
        <v>455</v>
      </c>
      <c r="E113" s="28" t="s">
        <v>456</v>
      </c>
      <c r="F113" s="13">
        <v>6.9212962962962969E-3</v>
      </c>
      <c r="G113" s="12">
        <v>10</v>
      </c>
      <c r="H113" s="12" t="s">
        <v>1297</v>
      </c>
      <c r="I113" s="29" t="s">
        <v>457</v>
      </c>
      <c r="J113" s="12" t="s">
        <v>21</v>
      </c>
      <c r="K113" s="12" t="s">
        <v>33</v>
      </c>
      <c r="L113" s="33"/>
      <c r="M113" s="33"/>
      <c r="N113" s="33"/>
      <c r="O113" s="12" t="s">
        <v>111</v>
      </c>
    </row>
    <row r="114" spans="1:15" ht="36" x14ac:dyDescent="0.3">
      <c r="A114" s="12">
        <v>24</v>
      </c>
      <c r="B114" s="43" t="s">
        <v>15</v>
      </c>
      <c r="C114" s="39" t="s">
        <v>395</v>
      </c>
      <c r="D114" s="28" t="s">
        <v>458</v>
      </c>
      <c r="E114" s="28" t="s">
        <v>459</v>
      </c>
      <c r="F114" s="13">
        <v>3.888888888888889E-2</v>
      </c>
      <c r="G114" s="12">
        <v>56</v>
      </c>
      <c r="H114" s="12" t="s">
        <v>324</v>
      </c>
      <c r="I114" s="29" t="s">
        <v>460</v>
      </c>
      <c r="J114" s="12" t="s">
        <v>28</v>
      </c>
      <c r="K114" s="12" t="s">
        <v>22</v>
      </c>
      <c r="L114" s="33"/>
      <c r="M114" s="33"/>
      <c r="N114" s="33"/>
      <c r="O114" s="12" t="s">
        <v>461</v>
      </c>
    </row>
    <row r="115" spans="1:15" ht="48" x14ac:dyDescent="0.3">
      <c r="A115" s="12">
        <v>25</v>
      </c>
      <c r="B115" s="40" t="s">
        <v>23</v>
      </c>
      <c r="C115" s="39" t="s">
        <v>395</v>
      </c>
      <c r="D115" s="28" t="s">
        <v>462</v>
      </c>
      <c r="E115" s="28" t="s">
        <v>463</v>
      </c>
      <c r="F115" s="13">
        <v>1.3888888934161514E-3</v>
      </c>
      <c r="G115" s="12">
        <v>2</v>
      </c>
      <c r="H115" s="12" t="s">
        <v>1430</v>
      </c>
      <c r="I115" s="29" t="s">
        <v>464</v>
      </c>
      <c r="J115" s="12" t="s">
        <v>21</v>
      </c>
      <c r="K115" s="12" t="s">
        <v>33</v>
      </c>
      <c r="L115" s="33"/>
      <c r="M115" s="33"/>
      <c r="N115" s="33"/>
      <c r="O115" s="12" t="s">
        <v>465</v>
      </c>
    </row>
    <row r="116" spans="1:15" ht="24" x14ac:dyDescent="0.3">
      <c r="A116" s="12">
        <v>26</v>
      </c>
      <c r="B116" s="43" t="s">
        <v>15</v>
      </c>
      <c r="C116" s="39" t="s">
        <v>395</v>
      </c>
      <c r="D116" s="28" t="s">
        <v>466</v>
      </c>
      <c r="E116" s="28" t="s">
        <v>467</v>
      </c>
      <c r="F116" s="13">
        <v>0.22638888889196096</v>
      </c>
      <c r="G116" s="12">
        <v>326</v>
      </c>
      <c r="H116" s="12" t="s">
        <v>468</v>
      </c>
      <c r="I116" s="29" t="s">
        <v>469</v>
      </c>
      <c r="J116" s="12" t="s">
        <v>21</v>
      </c>
      <c r="K116" s="12" t="s">
        <v>22</v>
      </c>
      <c r="L116" s="33"/>
      <c r="M116" s="33"/>
      <c r="N116" s="33"/>
      <c r="O116" s="12"/>
    </row>
    <row r="117" spans="1:15" ht="36" x14ac:dyDescent="0.3">
      <c r="A117" s="12">
        <v>27</v>
      </c>
      <c r="B117" s="40" t="s">
        <v>23</v>
      </c>
      <c r="C117" s="39" t="s">
        <v>395</v>
      </c>
      <c r="D117" s="28" t="s">
        <v>470</v>
      </c>
      <c r="E117" s="28" t="s">
        <v>471</v>
      </c>
      <c r="F117" s="13">
        <v>1.5046296248328872E-3</v>
      </c>
      <c r="G117" s="12">
        <v>2</v>
      </c>
      <c r="H117" s="12" t="s">
        <v>1431</v>
      </c>
      <c r="I117" s="29" t="s">
        <v>472</v>
      </c>
      <c r="J117" s="12" t="s">
        <v>21</v>
      </c>
      <c r="K117" s="12" t="s">
        <v>33</v>
      </c>
      <c r="L117" s="33"/>
      <c r="M117" s="33"/>
      <c r="N117" s="33"/>
      <c r="O117" s="12" t="s">
        <v>473</v>
      </c>
    </row>
    <row r="118" spans="1:15" ht="24" x14ac:dyDescent="0.3">
      <c r="A118" s="12">
        <v>28</v>
      </c>
      <c r="B118" s="40" t="s">
        <v>23</v>
      </c>
      <c r="C118" s="39" t="s">
        <v>395</v>
      </c>
      <c r="D118" s="28" t="s">
        <v>474</v>
      </c>
      <c r="E118" s="28" t="s">
        <v>475</v>
      </c>
      <c r="F118" s="13">
        <v>7.9282407407407409E-3</v>
      </c>
      <c r="G118" s="12">
        <v>11</v>
      </c>
      <c r="H118" s="12" t="s">
        <v>476</v>
      </c>
      <c r="I118" s="29" t="s">
        <v>477</v>
      </c>
      <c r="J118" s="12" t="s">
        <v>141</v>
      </c>
      <c r="K118" s="12" t="s">
        <v>33</v>
      </c>
      <c r="L118" s="33"/>
      <c r="M118" s="33"/>
      <c r="N118" s="33"/>
      <c r="O118" s="12" t="s">
        <v>478</v>
      </c>
    </row>
    <row r="119" spans="1:15" ht="48" x14ac:dyDescent="0.3">
      <c r="A119" s="12">
        <v>29</v>
      </c>
      <c r="B119" s="43" t="s">
        <v>15</v>
      </c>
      <c r="C119" s="39" t="s">
        <v>395</v>
      </c>
      <c r="D119" s="28" t="s">
        <v>479</v>
      </c>
      <c r="E119" s="28" t="s">
        <v>480</v>
      </c>
      <c r="F119" s="13" t="s">
        <v>481</v>
      </c>
      <c r="G119" s="12">
        <v>2</v>
      </c>
      <c r="H119" s="12" t="s">
        <v>482</v>
      </c>
      <c r="I119" s="29" t="s">
        <v>483</v>
      </c>
      <c r="J119" s="12" t="s">
        <v>141</v>
      </c>
      <c r="K119" s="12" t="s">
        <v>22</v>
      </c>
      <c r="L119" s="33"/>
      <c r="M119" s="33"/>
      <c r="N119" s="33"/>
      <c r="O119" s="12"/>
    </row>
    <row r="120" spans="1:15" ht="48" x14ac:dyDescent="0.3">
      <c r="A120" s="12">
        <v>30</v>
      </c>
      <c r="B120" s="40" t="s">
        <v>36</v>
      </c>
      <c r="C120" s="39" t="s">
        <v>395</v>
      </c>
      <c r="D120" s="28" t="s">
        <v>484</v>
      </c>
      <c r="E120" s="28" t="s">
        <v>485</v>
      </c>
      <c r="F120" s="13">
        <v>0.13472222222222222</v>
      </c>
      <c r="G120" s="12">
        <v>194</v>
      </c>
      <c r="H120" s="12" t="s">
        <v>486</v>
      </c>
      <c r="I120" s="29" t="s">
        <v>487</v>
      </c>
      <c r="J120" s="12" t="s">
        <v>488</v>
      </c>
      <c r="K120" s="12" t="s">
        <v>33</v>
      </c>
      <c r="L120" s="33"/>
      <c r="M120" s="33"/>
      <c r="N120" s="33"/>
      <c r="O120" s="12" t="s">
        <v>489</v>
      </c>
    </row>
    <row r="121" spans="1:15" ht="36" x14ac:dyDescent="0.3">
      <c r="A121" s="12">
        <v>31</v>
      </c>
      <c r="B121" s="43" t="s">
        <v>15</v>
      </c>
      <c r="C121" s="39" t="s">
        <v>395</v>
      </c>
      <c r="D121" s="28" t="s">
        <v>490</v>
      </c>
      <c r="E121" s="28" t="s">
        <v>491</v>
      </c>
      <c r="F121" s="13">
        <v>0.13541666666424135</v>
      </c>
      <c r="G121" s="12">
        <v>195</v>
      </c>
      <c r="H121" s="12" t="s">
        <v>1290</v>
      </c>
      <c r="I121" s="29" t="s">
        <v>492</v>
      </c>
      <c r="J121" s="12" t="s">
        <v>21</v>
      </c>
      <c r="K121" s="12" t="s">
        <v>22</v>
      </c>
      <c r="L121" s="33"/>
      <c r="M121" s="33"/>
      <c r="N121" s="33"/>
      <c r="O121" s="12"/>
    </row>
    <row r="122" spans="1:15" ht="36" x14ac:dyDescent="0.3">
      <c r="A122" s="12">
        <v>32</v>
      </c>
      <c r="B122" s="43" t="s">
        <v>15</v>
      </c>
      <c r="C122" s="39" t="s">
        <v>395</v>
      </c>
      <c r="D122" s="28" t="s">
        <v>493</v>
      </c>
      <c r="E122" s="28" t="s">
        <v>494</v>
      </c>
      <c r="F122" s="13">
        <v>0.11944444444816327</v>
      </c>
      <c r="G122" s="12">
        <v>172</v>
      </c>
      <c r="H122" s="12" t="s">
        <v>1291</v>
      </c>
      <c r="I122" s="29" t="s">
        <v>492</v>
      </c>
      <c r="J122" s="12" t="s">
        <v>21</v>
      </c>
      <c r="K122" s="12" t="s">
        <v>22</v>
      </c>
      <c r="L122" s="33"/>
      <c r="M122" s="33"/>
      <c r="N122" s="33"/>
      <c r="O122" s="12"/>
    </row>
    <row r="123" spans="1:15" ht="36" x14ac:dyDescent="0.3">
      <c r="A123" s="12">
        <v>33</v>
      </c>
      <c r="B123" s="43" t="s">
        <v>15</v>
      </c>
      <c r="C123" s="39" t="s">
        <v>395</v>
      </c>
      <c r="D123" s="28" t="s">
        <v>493</v>
      </c>
      <c r="E123" s="28" t="s">
        <v>495</v>
      </c>
      <c r="F123" s="13">
        <v>0.12083333333430346</v>
      </c>
      <c r="G123" s="12">
        <v>174</v>
      </c>
      <c r="H123" s="12" t="s">
        <v>1292</v>
      </c>
      <c r="I123" s="29" t="s">
        <v>492</v>
      </c>
      <c r="J123" s="12" t="s">
        <v>21</v>
      </c>
      <c r="K123" s="12" t="s">
        <v>22</v>
      </c>
      <c r="L123" s="33"/>
      <c r="M123" s="33"/>
      <c r="N123" s="33"/>
      <c r="O123" s="12"/>
    </row>
    <row r="124" spans="1:15" ht="36" x14ac:dyDescent="0.3">
      <c r="A124" s="12">
        <v>34</v>
      </c>
      <c r="B124" s="43" t="s">
        <v>15</v>
      </c>
      <c r="C124" s="39" t="s">
        <v>395</v>
      </c>
      <c r="D124" s="28" t="s">
        <v>493</v>
      </c>
      <c r="E124" s="28" t="s">
        <v>496</v>
      </c>
      <c r="F124" s="13">
        <v>0.12152777778101154</v>
      </c>
      <c r="G124" s="12">
        <v>175</v>
      </c>
      <c r="H124" s="12" t="s">
        <v>1293</v>
      </c>
      <c r="I124" s="29" t="s">
        <v>492</v>
      </c>
      <c r="J124" s="12" t="s">
        <v>21</v>
      </c>
      <c r="K124" s="12" t="s">
        <v>22</v>
      </c>
      <c r="L124" s="33"/>
      <c r="M124" s="33"/>
      <c r="N124" s="33"/>
      <c r="O124" s="12"/>
    </row>
    <row r="125" spans="1:15" ht="36" x14ac:dyDescent="0.3">
      <c r="A125" s="12">
        <v>35</v>
      </c>
      <c r="B125" s="43" t="s">
        <v>15</v>
      </c>
      <c r="C125" s="39" t="s">
        <v>395</v>
      </c>
      <c r="D125" s="28" t="s">
        <v>493</v>
      </c>
      <c r="E125" s="28" t="s">
        <v>491</v>
      </c>
      <c r="F125" s="13">
        <v>0.11597222222189885</v>
      </c>
      <c r="G125" s="12">
        <v>167</v>
      </c>
      <c r="H125" s="12" t="s">
        <v>1294</v>
      </c>
      <c r="I125" s="29" t="s">
        <v>492</v>
      </c>
      <c r="J125" s="12" t="s">
        <v>21</v>
      </c>
      <c r="K125" s="12" t="s">
        <v>22</v>
      </c>
      <c r="L125" s="33"/>
      <c r="M125" s="33"/>
      <c r="N125" s="33"/>
      <c r="O125" s="12"/>
    </row>
    <row r="126" spans="1:15" ht="36" x14ac:dyDescent="0.3">
      <c r="A126" s="12">
        <v>36</v>
      </c>
      <c r="B126" s="43" t="s">
        <v>15</v>
      </c>
      <c r="C126" s="39" t="s">
        <v>395</v>
      </c>
      <c r="D126" s="28" t="s">
        <v>497</v>
      </c>
      <c r="E126" s="28" t="s">
        <v>498</v>
      </c>
      <c r="F126" s="13">
        <v>0.10972222221607808</v>
      </c>
      <c r="G126" s="12">
        <v>158</v>
      </c>
      <c r="H126" s="12" t="s">
        <v>1295</v>
      </c>
      <c r="I126" s="29" t="s">
        <v>492</v>
      </c>
      <c r="J126" s="12" t="s">
        <v>21</v>
      </c>
      <c r="K126" s="12" t="s">
        <v>22</v>
      </c>
      <c r="L126" s="33"/>
      <c r="M126" s="33"/>
      <c r="N126" s="33"/>
      <c r="O126" s="12"/>
    </row>
    <row r="127" spans="1:15" ht="36" x14ac:dyDescent="0.3">
      <c r="A127" s="12">
        <v>37</v>
      </c>
      <c r="B127" s="43" t="s">
        <v>15</v>
      </c>
      <c r="C127" s="39" t="s">
        <v>395</v>
      </c>
      <c r="D127" s="28" t="s">
        <v>499</v>
      </c>
      <c r="E127" s="28" t="s">
        <v>500</v>
      </c>
      <c r="F127" s="13">
        <v>0.10763888889050577</v>
      </c>
      <c r="G127" s="12">
        <v>155</v>
      </c>
      <c r="H127" s="12" t="s">
        <v>1296</v>
      </c>
      <c r="I127" s="29" t="s">
        <v>492</v>
      </c>
      <c r="J127" s="12" t="s">
        <v>21</v>
      </c>
      <c r="K127" s="12" t="s">
        <v>22</v>
      </c>
      <c r="L127" s="33"/>
      <c r="M127" s="33"/>
      <c r="N127" s="33"/>
      <c r="O127" s="12"/>
    </row>
    <row r="128" spans="1:15" ht="36" x14ac:dyDescent="0.3">
      <c r="A128" s="12">
        <v>38</v>
      </c>
      <c r="B128" s="43" t="s">
        <v>15</v>
      </c>
      <c r="C128" s="39" t="s">
        <v>395</v>
      </c>
      <c r="D128" s="28" t="s">
        <v>501</v>
      </c>
      <c r="E128" s="28" t="s">
        <v>491</v>
      </c>
      <c r="F128" s="13">
        <v>9.4444444439432118E-2</v>
      </c>
      <c r="G128" s="12">
        <v>136</v>
      </c>
      <c r="H128" s="12" t="s">
        <v>502</v>
      </c>
      <c r="I128" s="29" t="s">
        <v>492</v>
      </c>
      <c r="J128" s="12" t="s">
        <v>21</v>
      </c>
      <c r="K128" s="12" t="s">
        <v>22</v>
      </c>
      <c r="L128" s="33"/>
      <c r="M128" s="33"/>
      <c r="N128" s="33"/>
      <c r="O128" s="12"/>
    </row>
    <row r="129" spans="1:15" ht="36" x14ac:dyDescent="0.3">
      <c r="A129" s="12">
        <v>39</v>
      </c>
      <c r="B129" s="43" t="s">
        <v>15</v>
      </c>
      <c r="C129" s="39" t="s">
        <v>395</v>
      </c>
      <c r="D129" s="28" t="s">
        <v>503</v>
      </c>
      <c r="E129" s="28" t="s">
        <v>504</v>
      </c>
      <c r="F129" s="13">
        <v>2.9166666666666664E-2</v>
      </c>
      <c r="G129" s="12">
        <v>42</v>
      </c>
      <c r="H129" s="12" t="s">
        <v>505</v>
      </c>
      <c r="I129" s="29" t="s">
        <v>506</v>
      </c>
      <c r="J129" s="12" t="s">
        <v>28</v>
      </c>
      <c r="K129" s="12" t="s">
        <v>22</v>
      </c>
      <c r="L129" s="33"/>
      <c r="M129" s="33"/>
      <c r="N129" s="33"/>
      <c r="O129" s="12" t="s">
        <v>507</v>
      </c>
    </row>
    <row r="130" spans="1:15" ht="36" x14ac:dyDescent="0.3">
      <c r="A130" s="12">
        <v>40</v>
      </c>
      <c r="B130" s="43" t="s">
        <v>15</v>
      </c>
      <c r="C130" s="39" t="s">
        <v>395</v>
      </c>
      <c r="D130" s="28" t="s">
        <v>508</v>
      </c>
      <c r="E130" s="28" t="s">
        <v>509</v>
      </c>
      <c r="F130" s="13">
        <v>3.1944444444444449E-2</v>
      </c>
      <c r="G130" s="12">
        <v>46</v>
      </c>
      <c r="H130" s="12" t="s">
        <v>510</v>
      </c>
      <c r="I130" s="29" t="s">
        <v>511</v>
      </c>
      <c r="J130" s="12" t="s">
        <v>28</v>
      </c>
      <c r="K130" s="12" t="s">
        <v>22</v>
      </c>
      <c r="L130" s="33"/>
      <c r="M130" s="33"/>
      <c r="N130" s="33"/>
      <c r="O130" s="12" t="s">
        <v>512</v>
      </c>
    </row>
    <row r="131" spans="1:15" ht="36" x14ac:dyDescent="0.3">
      <c r="A131" s="12">
        <v>41</v>
      </c>
      <c r="B131" s="43" t="s">
        <v>15</v>
      </c>
      <c r="C131" s="39" t="s">
        <v>395</v>
      </c>
      <c r="D131" s="28" t="s">
        <v>513</v>
      </c>
      <c r="E131" s="28" t="s">
        <v>514</v>
      </c>
      <c r="F131" s="13">
        <v>1.1805555555555555E-2</v>
      </c>
      <c r="G131" s="12">
        <v>17</v>
      </c>
      <c r="H131" s="12" t="s">
        <v>515</v>
      </c>
      <c r="I131" s="29" t="s">
        <v>516</v>
      </c>
      <c r="J131" s="12" t="s">
        <v>28</v>
      </c>
      <c r="K131" s="12" t="s">
        <v>22</v>
      </c>
      <c r="L131" s="33"/>
      <c r="M131" s="33"/>
      <c r="N131" s="33"/>
      <c r="O131" s="12" t="s">
        <v>517</v>
      </c>
    </row>
    <row r="132" spans="1:15" ht="36" x14ac:dyDescent="0.3">
      <c r="A132" s="12">
        <v>42</v>
      </c>
      <c r="B132" s="43" t="s">
        <v>15</v>
      </c>
      <c r="C132" s="39" t="s">
        <v>395</v>
      </c>
      <c r="D132" s="28" t="s">
        <v>518</v>
      </c>
      <c r="E132" s="28" t="s">
        <v>519</v>
      </c>
      <c r="F132" s="13">
        <v>3.6111111111111115E-2</v>
      </c>
      <c r="G132" s="12">
        <v>52</v>
      </c>
      <c r="H132" s="12" t="s">
        <v>520</v>
      </c>
      <c r="I132" s="29" t="s">
        <v>521</v>
      </c>
      <c r="J132" s="12" t="s">
        <v>28</v>
      </c>
      <c r="K132" s="12" t="s">
        <v>22</v>
      </c>
      <c r="L132" s="33"/>
      <c r="M132" s="33"/>
      <c r="N132" s="33"/>
      <c r="O132" s="12" t="s">
        <v>522</v>
      </c>
    </row>
    <row r="133" spans="1:15" ht="24" x14ac:dyDescent="0.3">
      <c r="A133" s="12">
        <v>1</v>
      </c>
      <c r="B133" s="40" t="s">
        <v>23</v>
      </c>
      <c r="C133" s="39" t="s">
        <v>523</v>
      </c>
      <c r="D133" s="28" t="s">
        <v>524</v>
      </c>
      <c r="E133" s="28" t="s">
        <v>525</v>
      </c>
      <c r="F133" s="13">
        <v>3.4490740740740745E-3</v>
      </c>
      <c r="G133" s="12">
        <v>5</v>
      </c>
      <c r="H133" s="12" t="s">
        <v>526</v>
      </c>
      <c r="I133" s="29" t="s">
        <v>527</v>
      </c>
      <c r="J133" s="12" t="s">
        <v>21</v>
      </c>
      <c r="K133" s="12" t="s">
        <v>33</v>
      </c>
      <c r="L133" s="33"/>
      <c r="M133" s="33"/>
      <c r="N133" s="33"/>
      <c r="O133" s="12" t="s">
        <v>528</v>
      </c>
    </row>
    <row r="134" spans="1:15" ht="60" x14ac:dyDescent="0.3">
      <c r="A134" s="12">
        <v>2</v>
      </c>
      <c r="B134" s="43" t="s">
        <v>15</v>
      </c>
      <c r="C134" s="39" t="s">
        <v>523</v>
      </c>
      <c r="D134" s="28" t="s">
        <v>529</v>
      </c>
      <c r="E134" s="28" t="s">
        <v>530</v>
      </c>
      <c r="F134" s="13">
        <v>0.10416666666666667</v>
      </c>
      <c r="G134" s="12">
        <v>150</v>
      </c>
      <c r="H134" s="12" t="s">
        <v>510</v>
      </c>
      <c r="I134" s="29" t="s">
        <v>531</v>
      </c>
      <c r="J134" s="12" t="s">
        <v>21</v>
      </c>
      <c r="K134" s="12" t="s">
        <v>22</v>
      </c>
      <c r="L134" s="33"/>
      <c r="M134" s="33"/>
      <c r="N134" s="33"/>
      <c r="O134" s="12" t="s">
        <v>532</v>
      </c>
    </row>
    <row r="135" spans="1:15" ht="60" x14ac:dyDescent="0.3">
      <c r="A135" s="12">
        <v>3</v>
      </c>
      <c r="B135" s="43" t="s">
        <v>15</v>
      </c>
      <c r="C135" s="39" t="s">
        <v>523</v>
      </c>
      <c r="D135" s="28" t="s">
        <v>533</v>
      </c>
      <c r="E135" s="28" t="s">
        <v>534</v>
      </c>
      <c r="F135" s="13">
        <v>0.10416666666666667</v>
      </c>
      <c r="G135" s="12">
        <v>150</v>
      </c>
      <c r="H135" s="12" t="s">
        <v>1282</v>
      </c>
      <c r="I135" s="29" t="s">
        <v>535</v>
      </c>
      <c r="J135" s="12" t="s">
        <v>21</v>
      </c>
      <c r="K135" s="12" t="s">
        <v>22</v>
      </c>
      <c r="L135" s="33"/>
      <c r="M135" s="33"/>
      <c r="N135" s="33"/>
      <c r="O135" s="12"/>
    </row>
    <row r="136" spans="1:15" ht="48" x14ac:dyDescent="0.3">
      <c r="A136" s="12">
        <v>4</v>
      </c>
      <c r="B136" s="40" t="s">
        <v>36</v>
      </c>
      <c r="C136" s="39" t="s">
        <v>523</v>
      </c>
      <c r="D136" s="28" t="s">
        <v>536</v>
      </c>
      <c r="E136" s="28" t="s">
        <v>537</v>
      </c>
      <c r="F136" s="13">
        <v>2.7384259259259257E-2</v>
      </c>
      <c r="G136" s="12">
        <v>39</v>
      </c>
      <c r="H136" s="12" t="s">
        <v>538</v>
      </c>
      <c r="I136" s="29" t="s">
        <v>539</v>
      </c>
      <c r="J136" s="12" t="s">
        <v>540</v>
      </c>
      <c r="K136" s="12" t="s">
        <v>33</v>
      </c>
      <c r="L136" s="33"/>
      <c r="M136" s="33"/>
      <c r="N136" s="33"/>
      <c r="O136" s="12" t="s">
        <v>541</v>
      </c>
    </row>
    <row r="137" spans="1:15" ht="48" x14ac:dyDescent="0.3">
      <c r="A137" s="12">
        <v>5</v>
      </c>
      <c r="B137" s="40" t="s">
        <v>36</v>
      </c>
      <c r="C137" s="39" t="s">
        <v>523</v>
      </c>
      <c r="D137" s="28" t="s">
        <v>542</v>
      </c>
      <c r="E137" s="28" t="s">
        <v>543</v>
      </c>
      <c r="F137" s="13">
        <v>4.4675925925925924E-2</v>
      </c>
      <c r="G137" s="12">
        <v>64</v>
      </c>
      <c r="H137" s="12" t="s">
        <v>538</v>
      </c>
      <c r="I137" s="29" t="s">
        <v>539</v>
      </c>
      <c r="J137" s="12" t="s">
        <v>540</v>
      </c>
      <c r="K137" s="12" t="s">
        <v>33</v>
      </c>
      <c r="L137" s="33"/>
      <c r="M137" s="33"/>
      <c r="N137" s="33"/>
      <c r="O137" s="12" t="s">
        <v>544</v>
      </c>
    </row>
    <row r="138" spans="1:15" ht="36" x14ac:dyDescent="0.3">
      <c r="A138" s="12">
        <v>6</v>
      </c>
      <c r="B138" s="43" t="s">
        <v>15</v>
      </c>
      <c r="C138" s="39" t="s">
        <v>523</v>
      </c>
      <c r="D138" s="28" t="s">
        <v>545</v>
      </c>
      <c r="E138" s="49" t="s">
        <v>546</v>
      </c>
      <c r="F138" s="13">
        <v>2.9166666666666664E-2</v>
      </c>
      <c r="G138" s="12">
        <v>42</v>
      </c>
      <c r="H138" s="12" t="s">
        <v>547</v>
      </c>
      <c r="I138" s="29" t="s">
        <v>548</v>
      </c>
      <c r="J138" s="12" t="s">
        <v>28</v>
      </c>
      <c r="K138" s="12" t="s">
        <v>22</v>
      </c>
      <c r="L138" s="33"/>
      <c r="M138" s="33"/>
      <c r="N138" s="33"/>
      <c r="O138" s="12" t="s">
        <v>549</v>
      </c>
    </row>
    <row r="139" spans="1:15" ht="24" x14ac:dyDescent="0.3">
      <c r="A139" s="12">
        <v>7</v>
      </c>
      <c r="B139" s="43" t="s">
        <v>15</v>
      </c>
      <c r="C139" s="39" t="s">
        <v>523</v>
      </c>
      <c r="D139" s="28" t="s">
        <v>550</v>
      </c>
      <c r="E139" s="49" t="s">
        <v>551</v>
      </c>
      <c r="F139" s="13">
        <v>9.0277777777777787E-3</v>
      </c>
      <c r="G139" s="12">
        <v>13</v>
      </c>
      <c r="H139" s="12" t="s">
        <v>552</v>
      </c>
      <c r="I139" s="29" t="s">
        <v>553</v>
      </c>
      <c r="J139" s="12" t="s">
        <v>21</v>
      </c>
      <c r="K139" s="12" t="s">
        <v>22</v>
      </c>
      <c r="L139" s="33"/>
      <c r="M139" s="33"/>
      <c r="N139" s="33"/>
      <c r="O139" s="12"/>
    </row>
    <row r="140" spans="1:15" ht="36" x14ac:dyDescent="0.3">
      <c r="A140" s="12">
        <v>8</v>
      </c>
      <c r="B140" s="40" t="s">
        <v>23</v>
      </c>
      <c r="C140" s="39" t="s">
        <v>523</v>
      </c>
      <c r="D140" s="28" t="s">
        <v>554</v>
      </c>
      <c r="E140" s="49" t="s">
        <v>555</v>
      </c>
      <c r="F140" s="13" t="s">
        <v>556</v>
      </c>
      <c r="G140" s="12">
        <v>17</v>
      </c>
      <c r="H140" s="12" t="s">
        <v>93</v>
      </c>
      <c r="I140" s="29" t="s">
        <v>557</v>
      </c>
      <c r="J140" s="12" t="s">
        <v>21</v>
      </c>
      <c r="K140" s="12" t="s">
        <v>33</v>
      </c>
      <c r="L140" s="33"/>
      <c r="M140" s="33"/>
      <c r="N140" s="33"/>
      <c r="O140" s="12" t="s">
        <v>96</v>
      </c>
    </row>
    <row r="141" spans="1:15" ht="32" customHeight="1" x14ac:dyDescent="0.3">
      <c r="A141" s="12">
        <v>9</v>
      </c>
      <c r="B141" s="40" t="s">
        <v>36</v>
      </c>
      <c r="C141" s="39" t="s">
        <v>523</v>
      </c>
      <c r="D141" s="28" t="s">
        <v>558</v>
      </c>
      <c r="E141" s="28" t="s">
        <v>559</v>
      </c>
      <c r="F141" s="13">
        <v>5.4166666666666669E-2</v>
      </c>
      <c r="G141" s="12">
        <v>78</v>
      </c>
      <c r="H141" s="12" t="s">
        <v>1283</v>
      </c>
      <c r="I141" s="29" t="s">
        <v>560</v>
      </c>
      <c r="J141" s="12" t="s">
        <v>28</v>
      </c>
      <c r="K141" s="12" t="s">
        <v>22</v>
      </c>
      <c r="L141" s="33"/>
      <c r="M141" s="33"/>
      <c r="N141" s="33"/>
      <c r="O141" s="12" t="s">
        <v>561</v>
      </c>
    </row>
    <row r="142" spans="1:15" ht="60" x14ac:dyDescent="0.3">
      <c r="A142" s="12">
        <v>10</v>
      </c>
      <c r="B142" s="40" t="s">
        <v>23</v>
      </c>
      <c r="C142" s="39" t="s">
        <v>523</v>
      </c>
      <c r="D142" s="28" t="s">
        <v>562</v>
      </c>
      <c r="E142" s="49" t="s">
        <v>563</v>
      </c>
      <c r="F142" s="13">
        <v>7.6388888888888886E-3</v>
      </c>
      <c r="G142" s="12">
        <v>11</v>
      </c>
      <c r="H142" s="12" t="s">
        <v>564</v>
      </c>
      <c r="I142" s="29" t="s">
        <v>565</v>
      </c>
      <c r="J142" s="12" t="s">
        <v>21</v>
      </c>
      <c r="K142" s="12" t="s">
        <v>33</v>
      </c>
      <c r="L142" s="33"/>
      <c r="M142" s="33"/>
      <c r="N142" s="33"/>
      <c r="O142" s="12" t="s">
        <v>1144</v>
      </c>
    </row>
    <row r="143" spans="1:15" ht="36" x14ac:dyDescent="0.3">
      <c r="A143" s="12">
        <v>11</v>
      </c>
      <c r="B143" s="40" t="s">
        <v>23</v>
      </c>
      <c r="C143" s="39" t="s">
        <v>523</v>
      </c>
      <c r="D143" s="28" t="s">
        <v>566</v>
      </c>
      <c r="E143" s="49" t="s">
        <v>567</v>
      </c>
      <c r="F143" s="13">
        <v>1.0416666666666667E-4</v>
      </c>
      <c r="G143" s="12">
        <v>0</v>
      </c>
      <c r="H143" s="12" t="s">
        <v>218</v>
      </c>
      <c r="I143" s="29" t="s">
        <v>568</v>
      </c>
      <c r="J143" s="12" t="s">
        <v>21</v>
      </c>
      <c r="K143" s="12" t="s">
        <v>33</v>
      </c>
      <c r="L143" s="33"/>
      <c r="M143" s="33"/>
      <c r="N143" s="33"/>
      <c r="O143" s="12" t="s">
        <v>220</v>
      </c>
    </row>
    <row r="144" spans="1:15" ht="36" x14ac:dyDescent="0.3">
      <c r="A144" s="12">
        <v>12</v>
      </c>
      <c r="B144" s="40" t="s">
        <v>23</v>
      </c>
      <c r="C144" s="39" t="s">
        <v>523</v>
      </c>
      <c r="D144" s="28" t="s">
        <v>569</v>
      </c>
      <c r="E144" s="28" t="s">
        <v>570</v>
      </c>
      <c r="F144" s="13">
        <v>5.4166666666666669E-2</v>
      </c>
      <c r="G144" s="12">
        <v>78</v>
      </c>
      <c r="H144" s="12" t="s">
        <v>571</v>
      </c>
      <c r="I144" s="29" t="s">
        <v>572</v>
      </c>
      <c r="J144" s="12" t="s">
        <v>28</v>
      </c>
      <c r="K144" s="12" t="s">
        <v>22</v>
      </c>
      <c r="L144" s="33"/>
      <c r="M144" s="33"/>
      <c r="N144" s="33"/>
      <c r="O144" s="12" t="s">
        <v>573</v>
      </c>
    </row>
    <row r="145" spans="1:15" ht="24" x14ac:dyDescent="0.3">
      <c r="A145" s="12">
        <v>13</v>
      </c>
      <c r="B145" s="40" t="s">
        <v>36</v>
      </c>
      <c r="C145" s="39" t="s">
        <v>523</v>
      </c>
      <c r="D145" s="28" t="s">
        <v>574</v>
      </c>
      <c r="E145" s="28" t="s">
        <v>575</v>
      </c>
      <c r="F145" s="13">
        <v>0.14097222222222222</v>
      </c>
      <c r="G145" s="12">
        <v>203</v>
      </c>
      <c r="H145" s="12" t="s">
        <v>426</v>
      </c>
      <c r="I145" s="29" t="s">
        <v>576</v>
      </c>
      <c r="J145" s="12" t="s">
        <v>28</v>
      </c>
      <c r="K145" s="12" t="s">
        <v>175</v>
      </c>
      <c r="L145" s="33"/>
      <c r="M145" s="33"/>
      <c r="N145" s="33"/>
      <c r="O145" s="12">
        <v>2908</v>
      </c>
    </row>
    <row r="146" spans="1:15" ht="36" x14ac:dyDescent="0.3">
      <c r="A146" s="12">
        <v>14</v>
      </c>
      <c r="B146" s="40" t="s">
        <v>23</v>
      </c>
      <c r="C146" s="39" t="s">
        <v>523</v>
      </c>
      <c r="D146" s="28" t="s">
        <v>577</v>
      </c>
      <c r="E146" s="28" t="s">
        <v>578</v>
      </c>
      <c r="F146" s="13">
        <v>4.8611111111111112E-3</v>
      </c>
      <c r="G146" s="12">
        <v>7</v>
      </c>
      <c r="H146" s="12" t="s">
        <v>579</v>
      </c>
      <c r="I146" s="29" t="s">
        <v>580</v>
      </c>
      <c r="J146" s="12" t="s">
        <v>334</v>
      </c>
      <c r="K146" s="12" t="s">
        <v>33</v>
      </c>
      <c r="L146" s="33"/>
      <c r="M146" s="33"/>
      <c r="N146" s="33"/>
      <c r="O146" s="12" t="s">
        <v>581</v>
      </c>
    </row>
    <row r="147" spans="1:15" ht="24" x14ac:dyDescent="0.3">
      <c r="A147" s="12">
        <v>15</v>
      </c>
      <c r="B147" s="40" t="s">
        <v>36</v>
      </c>
      <c r="C147" s="39" t="s">
        <v>523</v>
      </c>
      <c r="D147" s="28" t="s">
        <v>582</v>
      </c>
      <c r="E147" s="28" t="s">
        <v>583</v>
      </c>
      <c r="F147" s="13">
        <v>8.819444444444445E-2</v>
      </c>
      <c r="G147" s="12">
        <v>127</v>
      </c>
      <c r="H147" s="12" t="s">
        <v>1280</v>
      </c>
      <c r="I147" s="29" t="s">
        <v>584</v>
      </c>
      <c r="J147" s="12" t="s">
        <v>488</v>
      </c>
      <c r="K147" s="12" t="s">
        <v>33</v>
      </c>
      <c r="L147" s="33"/>
      <c r="M147" s="33"/>
      <c r="N147" s="33"/>
      <c r="O147" s="12" t="s">
        <v>585</v>
      </c>
    </row>
    <row r="148" spans="1:15" ht="36" x14ac:dyDescent="0.3">
      <c r="A148" s="12">
        <v>16</v>
      </c>
      <c r="B148" s="40" t="s">
        <v>36</v>
      </c>
      <c r="C148" s="39" t="s">
        <v>523</v>
      </c>
      <c r="D148" s="28" t="s">
        <v>586</v>
      </c>
      <c r="E148" s="28" t="s">
        <v>587</v>
      </c>
      <c r="F148" s="13">
        <v>5.4166666666666669E-2</v>
      </c>
      <c r="G148" s="12">
        <v>78</v>
      </c>
      <c r="H148" s="12" t="s">
        <v>588</v>
      </c>
      <c r="I148" s="29" t="s">
        <v>589</v>
      </c>
      <c r="J148" s="12" t="s">
        <v>488</v>
      </c>
      <c r="K148" s="12" t="s">
        <v>22</v>
      </c>
      <c r="L148" s="33"/>
      <c r="M148" s="33"/>
      <c r="N148" s="33"/>
      <c r="O148" s="12" t="s">
        <v>590</v>
      </c>
    </row>
    <row r="149" spans="1:15" ht="60" x14ac:dyDescent="0.3">
      <c r="A149" s="12">
        <v>17</v>
      </c>
      <c r="B149" s="40" t="s">
        <v>23</v>
      </c>
      <c r="C149" s="39" t="s">
        <v>523</v>
      </c>
      <c r="D149" s="28" t="s">
        <v>591</v>
      </c>
      <c r="E149" s="28" t="s">
        <v>592</v>
      </c>
      <c r="F149" s="13">
        <v>6.9444444444444441E-3</v>
      </c>
      <c r="G149" s="12">
        <v>10</v>
      </c>
      <c r="H149" s="12" t="s">
        <v>593</v>
      </c>
      <c r="I149" s="29" t="s">
        <v>594</v>
      </c>
      <c r="J149" s="12" t="s">
        <v>21</v>
      </c>
      <c r="K149" s="12" t="s">
        <v>33</v>
      </c>
      <c r="L149" s="33"/>
      <c r="M149" s="33"/>
      <c r="N149" s="33"/>
      <c r="O149" s="12" t="s">
        <v>595</v>
      </c>
    </row>
    <row r="150" spans="1:15" ht="24" x14ac:dyDescent="0.3">
      <c r="A150" s="12">
        <v>18</v>
      </c>
      <c r="B150" s="40" t="s">
        <v>36</v>
      </c>
      <c r="C150" s="39" t="s">
        <v>523</v>
      </c>
      <c r="D150" s="28" t="s">
        <v>596</v>
      </c>
      <c r="E150" s="28" t="s">
        <v>597</v>
      </c>
      <c r="F150" s="13">
        <v>0.27822916666666669</v>
      </c>
      <c r="G150" s="12">
        <v>401</v>
      </c>
      <c r="H150" s="12" t="s">
        <v>1281</v>
      </c>
      <c r="I150" s="29" t="s">
        <v>598</v>
      </c>
      <c r="J150" s="12" t="s">
        <v>21</v>
      </c>
      <c r="K150" s="12" t="s">
        <v>33</v>
      </c>
      <c r="L150" s="33"/>
      <c r="M150" s="33"/>
      <c r="N150" s="33"/>
      <c r="O150" s="12" t="s">
        <v>111</v>
      </c>
    </row>
    <row r="151" spans="1:15" ht="36" x14ac:dyDescent="0.3">
      <c r="A151" s="12">
        <v>19</v>
      </c>
      <c r="B151" s="40" t="s">
        <v>36</v>
      </c>
      <c r="C151" s="39" t="s">
        <v>523</v>
      </c>
      <c r="D151" s="28" t="s">
        <v>599</v>
      </c>
      <c r="E151" s="28" t="s">
        <v>600</v>
      </c>
      <c r="F151" s="13">
        <v>0.17430555555620231</v>
      </c>
      <c r="G151" s="12">
        <v>251</v>
      </c>
      <c r="H151" s="12" t="s">
        <v>1303</v>
      </c>
      <c r="I151" s="29" t="s">
        <v>601</v>
      </c>
      <c r="J151" s="12" t="s">
        <v>488</v>
      </c>
      <c r="K151" s="12" t="s">
        <v>33</v>
      </c>
      <c r="L151" s="33"/>
      <c r="M151" s="33"/>
      <c r="N151" s="33"/>
      <c r="O151" s="12" t="s">
        <v>602</v>
      </c>
    </row>
    <row r="152" spans="1:15" ht="24" x14ac:dyDescent="0.3">
      <c r="A152" s="12">
        <v>20</v>
      </c>
      <c r="B152" s="43" t="s">
        <v>15</v>
      </c>
      <c r="C152" s="39" t="s">
        <v>523</v>
      </c>
      <c r="D152" s="28" t="s">
        <v>603</v>
      </c>
      <c r="E152" s="28" t="s">
        <v>604</v>
      </c>
      <c r="F152" s="13">
        <v>9.3055555555555558E-2</v>
      </c>
      <c r="G152" s="12">
        <v>134</v>
      </c>
      <c r="H152" s="12" t="s">
        <v>1284</v>
      </c>
      <c r="I152" s="29" t="s">
        <v>605</v>
      </c>
      <c r="J152" s="12" t="s">
        <v>21</v>
      </c>
      <c r="K152" s="12" t="s">
        <v>22</v>
      </c>
      <c r="L152" s="33"/>
      <c r="M152" s="33"/>
      <c r="N152" s="33"/>
      <c r="O152" s="12"/>
    </row>
    <row r="153" spans="1:15" ht="24" x14ac:dyDescent="0.3">
      <c r="A153" s="12">
        <v>21</v>
      </c>
      <c r="B153" s="40" t="s">
        <v>23</v>
      </c>
      <c r="C153" s="39" t="s">
        <v>523</v>
      </c>
      <c r="D153" s="28" t="s">
        <v>606</v>
      </c>
      <c r="E153" s="28" t="s">
        <v>607</v>
      </c>
      <c r="F153" s="13">
        <v>4.8611111111111112E-3</v>
      </c>
      <c r="G153" s="12">
        <v>7</v>
      </c>
      <c r="H153" s="12" t="s">
        <v>476</v>
      </c>
      <c r="I153" s="29" t="s">
        <v>608</v>
      </c>
      <c r="J153" s="12" t="s">
        <v>21</v>
      </c>
      <c r="K153" s="12" t="s">
        <v>33</v>
      </c>
      <c r="L153" s="33"/>
      <c r="M153" s="33"/>
      <c r="N153" s="33"/>
      <c r="O153" s="12" t="s">
        <v>478</v>
      </c>
    </row>
    <row r="154" spans="1:15" ht="36" x14ac:dyDescent="0.3">
      <c r="A154" s="12">
        <v>22</v>
      </c>
      <c r="B154" s="40" t="s">
        <v>36</v>
      </c>
      <c r="C154" s="39" t="s">
        <v>523</v>
      </c>
      <c r="D154" s="28" t="s">
        <v>609</v>
      </c>
      <c r="E154" s="28" t="s">
        <v>610</v>
      </c>
      <c r="F154" s="13">
        <v>5.2083333333333336E-2</v>
      </c>
      <c r="G154" s="12">
        <v>75</v>
      </c>
      <c r="H154" s="12" t="s">
        <v>611</v>
      </c>
      <c r="I154" s="29" t="s">
        <v>612</v>
      </c>
      <c r="J154" s="12" t="s">
        <v>28</v>
      </c>
      <c r="K154" s="12" t="s">
        <v>22</v>
      </c>
      <c r="L154" s="33"/>
      <c r="M154" s="33"/>
      <c r="N154" s="33"/>
      <c r="O154" s="12" t="s">
        <v>613</v>
      </c>
    </row>
    <row r="155" spans="1:15" ht="48" x14ac:dyDescent="0.3">
      <c r="A155" s="12">
        <v>23</v>
      </c>
      <c r="B155" s="40" t="s">
        <v>23</v>
      </c>
      <c r="C155" s="39" t="s">
        <v>523</v>
      </c>
      <c r="D155" s="28" t="s">
        <v>1076</v>
      </c>
      <c r="E155" s="28" t="s">
        <v>1077</v>
      </c>
      <c r="F155" s="13" t="s">
        <v>1078</v>
      </c>
      <c r="G155" s="12">
        <v>33</v>
      </c>
      <c r="H155" s="12" t="s">
        <v>476</v>
      </c>
      <c r="I155" s="29" t="s">
        <v>1117</v>
      </c>
      <c r="J155" s="12" t="s">
        <v>21</v>
      </c>
      <c r="K155" s="12" t="s">
        <v>33</v>
      </c>
      <c r="L155" s="33"/>
      <c r="M155" s="33"/>
      <c r="N155" s="33"/>
      <c r="O155" s="12" t="s">
        <v>478</v>
      </c>
    </row>
    <row r="156" spans="1:15" ht="36" x14ac:dyDescent="0.3">
      <c r="A156" s="12">
        <v>24</v>
      </c>
      <c r="B156" s="40" t="s">
        <v>36</v>
      </c>
      <c r="C156" s="39" t="s">
        <v>523</v>
      </c>
      <c r="D156" s="28" t="s">
        <v>1082</v>
      </c>
      <c r="E156" s="28" t="s">
        <v>1083</v>
      </c>
      <c r="F156" s="13">
        <v>2.1527777777777781E-2</v>
      </c>
      <c r="G156" s="12">
        <v>31</v>
      </c>
      <c r="H156" s="12" t="s">
        <v>1099</v>
      </c>
      <c r="I156" s="29" t="s">
        <v>1084</v>
      </c>
      <c r="J156" s="12" t="s">
        <v>540</v>
      </c>
      <c r="K156" s="12" t="s">
        <v>33</v>
      </c>
      <c r="L156" s="33"/>
      <c r="M156" s="33"/>
      <c r="N156" s="33"/>
      <c r="O156" s="12" t="s">
        <v>1085</v>
      </c>
    </row>
    <row r="157" spans="1:15" ht="36" x14ac:dyDescent="0.3">
      <c r="A157" s="12">
        <v>25</v>
      </c>
      <c r="B157" s="40" t="s">
        <v>36</v>
      </c>
      <c r="C157" s="39" t="s">
        <v>523</v>
      </c>
      <c r="D157" s="28" t="s">
        <v>1124</v>
      </c>
      <c r="E157" s="28" t="s">
        <v>1125</v>
      </c>
      <c r="F157" s="13">
        <v>3.4722222222222224E-2</v>
      </c>
      <c r="G157" s="12">
        <v>50</v>
      </c>
      <c r="H157" s="12" t="s">
        <v>319</v>
      </c>
      <c r="I157" s="29" t="s">
        <v>1126</v>
      </c>
      <c r="J157" s="12" t="s">
        <v>1057</v>
      </c>
      <c r="K157" s="12" t="s">
        <v>33</v>
      </c>
      <c r="L157" s="33"/>
      <c r="M157" s="33"/>
      <c r="N157" s="33"/>
      <c r="O157" s="12" t="s">
        <v>1127</v>
      </c>
    </row>
    <row r="158" spans="1:15" ht="24" x14ac:dyDescent="0.3">
      <c r="A158" s="12">
        <v>26</v>
      </c>
      <c r="B158" s="43" t="s">
        <v>15</v>
      </c>
      <c r="C158" s="39" t="s">
        <v>523</v>
      </c>
      <c r="D158" s="28" t="s">
        <v>1100</v>
      </c>
      <c r="E158" s="28" t="s">
        <v>1101</v>
      </c>
      <c r="F158" s="13">
        <v>6.053240740740741E-3</v>
      </c>
      <c r="G158" s="12">
        <v>9</v>
      </c>
      <c r="H158" s="12" t="s">
        <v>1285</v>
      </c>
      <c r="I158" s="29" t="s">
        <v>1102</v>
      </c>
      <c r="J158" s="12" t="s">
        <v>540</v>
      </c>
      <c r="K158" s="12" t="s">
        <v>22</v>
      </c>
      <c r="L158" s="33"/>
      <c r="M158" s="33"/>
      <c r="N158" s="33"/>
      <c r="O158" s="12"/>
    </row>
    <row r="159" spans="1:15" ht="60" x14ac:dyDescent="0.3">
      <c r="A159" s="12">
        <v>27</v>
      </c>
      <c r="B159" s="43" t="s">
        <v>15</v>
      </c>
      <c r="C159" s="39" t="s">
        <v>523</v>
      </c>
      <c r="D159" s="28" t="s">
        <v>1103</v>
      </c>
      <c r="E159" s="28" t="s">
        <v>1123</v>
      </c>
      <c r="F159" s="13">
        <v>6.3425925925925927E-2</v>
      </c>
      <c r="G159" s="12">
        <v>91</v>
      </c>
      <c r="H159" s="12" t="s">
        <v>1104</v>
      </c>
      <c r="I159" s="29" t="s">
        <v>1118</v>
      </c>
      <c r="J159" s="12"/>
      <c r="K159" s="12" t="s">
        <v>33</v>
      </c>
      <c r="L159" s="33"/>
      <c r="M159" s="33"/>
      <c r="N159" s="33"/>
      <c r="O159" s="12" t="s">
        <v>1128</v>
      </c>
    </row>
    <row r="160" spans="1:15" ht="24" x14ac:dyDescent="0.3">
      <c r="A160" s="12">
        <v>28</v>
      </c>
      <c r="B160" s="43" t="s">
        <v>36</v>
      </c>
      <c r="C160" s="39" t="s">
        <v>523</v>
      </c>
      <c r="D160" s="28" t="s">
        <v>1115</v>
      </c>
      <c r="E160" s="28" t="s">
        <v>1116</v>
      </c>
      <c r="F160" s="13">
        <v>2.3263888888888887E-3</v>
      </c>
      <c r="G160" s="12">
        <v>3</v>
      </c>
      <c r="H160" s="12" t="s">
        <v>1304</v>
      </c>
      <c r="I160" s="29" t="s">
        <v>1119</v>
      </c>
      <c r="J160" s="12" t="s">
        <v>21</v>
      </c>
      <c r="K160" s="12" t="s">
        <v>33</v>
      </c>
      <c r="L160" s="33"/>
      <c r="M160" s="33"/>
      <c r="N160" s="33"/>
      <c r="O160" s="12" t="s">
        <v>1143</v>
      </c>
    </row>
    <row r="161" spans="1:15" ht="108" x14ac:dyDescent="0.3">
      <c r="A161" s="12">
        <v>29</v>
      </c>
      <c r="B161" s="40" t="s">
        <v>23</v>
      </c>
      <c r="C161" s="39" t="s">
        <v>523</v>
      </c>
      <c r="D161" s="28" t="s">
        <v>1107</v>
      </c>
      <c r="E161" s="28" t="s">
        <v>1109</v>
      </c>
      <c r="F161" s="13" t="s">
        <v>1110</v>
      </c>
      <c r="G161" s="12">
        <v>20</v>
      </c>
      <c r="H161" s="12" t="s">
        <v>348</v>
      </c>
      <c r="I161" s="29" t="s">
        <v>1111</v>
      </c>
      <c r="J161" s="12" t="s">
        <v>141</v>
      </c>
      <c r="K161" s="12" t="s">
        <v>175</v>
      </c>
      <c r="L161" s="33"/>
      <c r="M161" s="33"/>
      <c r="N161" s="33"/>
      <c r="O161" s="12" t="s">
        <v>1142</v>
      </c>
    </row>
    <row r="162" spans="1:15" ht="108" x14ac:dyDescent="0.3">
      <c r="A162" s="12">
        <v>30</v>
      </c>
      <c r="B162" s="40" t="s">
        <v>23</v>
      </c>
      <c r="C162" s="39" t="s">
        <v>523</v>
      </c>
      <c r="D162" s="28" t="s">
        <v>1107</v>
      </c>
      <c r="E162" s="28" t="s">
        <v>1109</v>
      </c>
      <c r="F162" s="13" t="s">
        <v>1110</v>
      </c>
      <c r="G162" s="12">
        <v>20</v>
      </c>
      <c r="H162" s="12" t="s">
        <v>1251</v>
      </c>
      <c r="I162" s="29" t="s">
        <v>1111</v>
      </c>
      <c r="J162" s="12" t="s">
        <v>141</v>
      </c>
      <c r="K162" s="12" t="s">
        <v>33</v>
      </c>
      <c r="L162" s="33"/>
      <c r="M162" s="33"/>
      <c r="N162" s="33"/>
      <c r="O162" s="12" t="s">
        <v>1252</v>
      </c>
    </row>
    <row r="163" spans="1:15" ht="24" x14ac:dyDescent="0.3">
      <c r="A163" s="12">
        <v>31</v>
      </c>
      <c r="B163" s="40" t="s">
        <v>36</v>
      </c>
      <c r="C163" s="39" t="s">
        <v>523</v>
      </c>
      <c r="D163" s="28" t="s">
        <v>1112</v>
      </c>
      <c r="E163" s="28" t="s">
        <v>1113</v>
      </c>
      <c r="F163" s="13">
        <v>6.944444467080757E-4</v>
      </c>
      <c r="G163" s="12">
        <v>1</v>
      </c>
      <c r="H163" s="12" t="s">
        <v>1281</v>
      </c>
      <c r="I163" s="29" t="s">
        <v>1114</v>
      </c>
      <c r="J163" s="12" t="s">
        <v>21</v>
      </c>
      <c r="K163" s="12" t="s">
        <v>33</v>
      </c>
      <c r="L163" s="33"/>
      <c r="M163" s="33"/>
      <c r="N163" s="33"/>
      <c r="O163" s="12" t="s">
        <v>111</v>
      </c>
    </row>
    <row r="164" spans="1:15" ht="84" x14ac:dyDescent="0.3">
      <c r="A164" s="12">
        <v>32</v>
      </c>
      <c r="B164" s="40" t="s">
        <v>23</v>
      </c>
      <c r="C164" s="39" t="s">
        <v>523</v>
      </c>
      <c r="D164" s="28" t="s">
        <v>1138</v>
      </c>
      <c r="E164" s="28" t="s">
        <v>1139</v>
      </c>
      <c r="F164" s="13">
        <v>5.5555555555555558E-3</v>
      </c>
      <c r="G164" s="12">
        <v>8</v>
      </c>
      <c r="H164" s="12" t="s">
        <v>1249</v>
      </c>
      <c r="I164" s="29" t="s">
        <v>1215</v>
      </c>
      <c r="J164" s="12" t="s">
        <v>21</v>
      </c>
      <c r="K164" s="12" t="s">
        <v>33</v>
      </c>
      <c r="L164" s="33"/>
      <c r="M164" s="33"/>
      <c r="N164" s="33"/>
      <c r="O164" s="12" t="s">
        <v>1141</v>
      </c>
    </row>
    <row r="165" spans="1:15" ht="24" x14ac:dyDescent="0.3">
      <c r="A165" s="12">
        <v>33</v>
      </c>
      <c r="B165" s="43" t="s">
        <v>15</v>
      </c>
      <c r="C165" s="39" t="s">
        <v>523</v>
      </c>
      <c r="D165" s="28" t="s">
        <v>1147</v>
      </c>
      <c r="E165" s="28" t="s">
        <v>1148</v>
      </c>
      <c r="F165" s="13">
        <v>0.10625</v>
      </c>
      <c r="G165" s="12">
        <v>153</v>
      </c>
      <c r="H165" s="12" t="s">
        <v>1305</v>
      </c>
      <c r="I165" s="29" t="s">
        <v>1214</v>
      </c>
      <c r="J165" s="12" t="s">
        <v>21</v>
      </c>
      <c r="K165" s="12" t="s">
        <v>33</v>
      </c>
      <c r="L165" s="33"/>
      <c r="M165" s="33"/>
      <c r="N165" s="33"/>
      <c r="O165" s="12" t="s">
        <v>1152</v>
      </c>
    </row>
    <row r="166" spans="1:15" ht="48" x14ac:dyDescent="0.3">
      <c r="A166" s="12">
        <v>34</v>
      </c>
      <c r="B166" s="43" t="s">
        <v>15</v>
      </c>
      <c r="C166" s="39" t="s">
        <v>523</v>
      </c>
      <c r="D166" s="28" t="s">
        <v>1149</v>
      </c>
      <c r="E166" s="28" t="s">
        <v>1150</v>
      </c>
      <c r="F166" s="13">
        <v>0.18194444444444444</v>
      </c>
      <c r="G166" s="12">
        <v>262</v>
      </c>
      <c r="H166" s="12" t="s">
        <v>1151</v>
      </c>
      <c r="I166" s="29" t="s">
        <v>1216</v>
      </c>
      <c r="J166" s="12" t="s">
        <v>21</v>
      </c>
      <c r="K166" s="12" t="s">
        <v>33</v>
      </c>
      <c r="L166" s="33"/>
      <c r="M166" s="33"/>
      <c r="N166" s="33"/>
      <c r="O166" s="12" t="s">
        <v>1153</v>
      </c>
    </row>
    <row r="167" spans="1:15" ht="36" x14ac:dyDescent="0.3">
      <c r="A167" s="12">
        <v>35</v>
      </c>
      <c r="B167" s="43" t="s">
        <v>15</v>
      </c>
      <c r="C167" s="39" t="s">
        <v>523</v>
      </c>
      <c r="D167" s="28" t="s">
        <v>1182</v>
      </c>
      <c r="E167" s="28" t="s">
        <v>1181</v>
      </c>
      <c r="F167" s="13">
        <v>3.8194444444444441E-2</v>
      </c>
      <c r="G167" s="12">
        <v>55</v>
      </c>
      <c r="H167" s="12" t="s">
        <v>1183</v>
      </c>
      <c r="I167" s="29" t="s">
        <v>1217</v>
      </c>
      <c r="J167" s="12" t="s">
        <v>28</v>
      </c>
      <c r="K167" s="12" t="s">
        <v>22</v>
      </c>
      <c r="L167" s="12"/>
      <c r="M167" s="33"/>
      <c r="N167" s="33"/>
      <c r="O167" s="33"/>
    </row>
    <row r="168" spans="1:15" ht="36" x14ac:dyDescent="0.3">
      <c r="A168" s="12">
        <v>36</v>
      </c>
      <c r="B168" s="40" t="s">
        <v>23</v>
      </c>
      <c r="C168" s="39" t="s">
        <v>523</v>
      </c>
      <c r="D168" s="28" t="s">
        <v>1184</v>
      </c>
      <c r="E168" s="28" t="s">
        <v>1185</v>
      </c>
      <c r="F168" s="13">
        <v>8.1018518540076911E-4</v>
      </c>
      <c r="G168" s="12">
        <v>1</v>
      </c>
      <c r="H168" s="12" t="s">
        <v>1190</v>
      </c>
      <c r="I168" s="29" t="s">
        <v>1213</v>
      </c>
      <c r="J168" s="12" t="s">
        <v>21</v>
      </c>
      <c r="K168" s="12" t="s">
        <v>33</v>
      </c>
      <c r="L168" s="33"/>
      <c r="M168" s="33"/>
      <c r="N168" s="33"/>
      <c r="O168" s="33"/>
    </row>
    <row r="169" spans="1:15" ht="36" x14ac:dyDescent="0.3">
      <c r="A169" s="12">
        <v>37</v>
      </c>
      <c r="B169" s="40" t="s">
        <v>23</v>
      </c>
      <c r="C169" s="39" t="s">
        <v>523</v>
      </c>
      <c r="D169" s="28" t="s">
        <v>1189</v>
      </c>
      <c r="E169" s="28" t="s">
        <v>1186</v>
      </c>
      <c r="F169" s="13">
        <v>1.8761574079690035E-2</v>
      </c>
      <c r="G169" s="12">
        <v>27</v>
      </c>
      <c r="H169" s="12" t="s">
        <v>1305</v>
      </c>
      <c r="I169" s="29" t="s">
        <v>1212</v>
      </c>
      <c r="J169" s="12" t="s">
        <v>21</v>
      </c>
      <c r="K169" s="12" t="s">
        <v>33</v>
      </c>
      <c r="L169" s="33"/>
      <c r="M169" s="33"/>
      <c r="N169" s="33"/>
      <c r="O169" s="12" t="s">
        <v>1152</v>
      </c>
    </row>
    <row r="170" spans="1:15" ht="48" x14ac:dyDescent="0.3">
      <c r="A170" s="12">
        <v>38</v>
      </c>
      <c r="B170" s="40" t="s">
        <v>23</v>
      </c>
      <c r="C170" s="39" t="s">
        <v>523</v>
      </c>
      <c r="D170" s="28" t="s">
        <v>1188</v>
      </c>
      <c r="E170" s="28" t="s">
        <v>1187</v>
      </c>
      <c r="F170" s="13">
        <v>2.4629629631817807E-2</v>
      </c>
      <c r="G170" s="12">
        <v>35</v>
      </c>
      <c r="H170" s="12" t="s">
        <v>1191</v>
      </c>
      <c r="I170" s="29" t="s">
        <v>1247</v>
      </c>
      <c r="J170" s="12"/>
      <c r="K170" s="12" t="s">
        <v>33</v>
      </c>
      <c r="L170" s="33"/>
      <c r="M170" s="33"/>
      <c r="N170" s="33"/>
      <c r="O170" s="33"/>
    </row>
    <row r="171" spans="1:15" ht="24" x14ac:dyDescent="0.3">
      <c r="A171" s="12">
        <v>39</v>
      </c>
      <c r="B171" s="40" t="s">
        <v>36</v>
      </c>
      <c r="C171" s="39" t="s">
        <v>523</v>
      </c>
      <c r="D171" s="28" t="s">
        <v>1237</v>
      </c>
      <c r="E171" s="28" t="s">
        <v>1238</v>
      </c>
      <c r="F171" s="13" t="s">
        <v>1235</v>
      </c>
      <c r="G171" s="12">
        <v>1864</v>
      </c>
      <c r="H171" s="12" t="s">
        <v>1280</v>
      </c>
      <c r="I171" s="29" t="s">
        <v>1211</v>
      </c>
      <c r="J171" s="12" t="s">
        <v>334</v>
      </c>
      <c r="K171" s="12" t="s">
        <v>33</v>
      </c>
      <c r="L171" s="33"/>
      <c r="M171" s="33"/>
      <c r="N171" s="33"/>
      <c r="O171" s="33" t="s">
        <v>585</v>
      </c>
    </row>
    <row r="172" spans="1:15" ht="24" x14ac:dyDescent="0.3">
      <c r="A172" s="12">
        <v>40</v>
      </c>
      <c r="B172" s="40" t="s">
        <v>36</v>
      </c>
      <c r="C172" s="39" t="s">
        <v>523</v>
      </c>
      <c r="D172" s="28" t="s">
        <v>1239</v>
      </c>
      <c r="E172" s="28" t="s">
        <v>1240</v>
      </c>
      <c r="F172" s="13" t="s">
        <v>1236</v>
      </c>
      <c r="G172" s="12">
        <v>2878</v>
      </c>
      <c r="H172" s="12" t="s">
        <v>1280</v>
      </c>
      <c r="I172" s="29" t="s">
        <v>1224</v>
      </c>
      <c r="J172" s="12" t="s">
        <v>334</v>
      </c>
      <c r="K172" s="12" t="s">
        <v>33</v>
      </c>
      <c r="L172" s="33"/>
      <c r="M172" s="33"/>
      <c r="N172" s="33"/>
      <c r="O172" s="33" t="s">
        <v>1210</v>
      </c>
    </row>
    <row r="173" spans="1:15" ht="24" x14ac:dyDescent="0.3">
      <c r="A173" s="12">
        <v>1</v>
      </c>
      <c r="B173" s="40" t="s">
        <v>23</v>
      </c>
      <c r="C173" s="39" t="s">
        <v>1172</v>
      </c>
      <c r="D173" s="28" t="s">
        <v>1192</v>
      </c>
      <c r="E173" s="28" t="s">
        <v>1205</v>
      </c>
      <c r="F173" s="13">
        <v>1.9328703710925765E-3</v>
      </c>
      <c r="G173" s="12">
        <v>3</v>
      </c>
      <c r="H173" s="12" t="s">
        <v>1262</v>
      </c>
      <c r="I173" s="29" t="s">
        <v>1243</v>
      </c>
      <c r="J173" s="12" t="s">
        <v>21</v>
      </c>
      <c r="K173" s="12" t="s">
        <v>33</v>
      </c>
      <c r="L173" s="33"/>
      <c r="M173" s="33"/>
      <c r="N173" s="33"/>
      <c r="O173" s="12" t="s">
        <v>1350</v>
      </c>
    </row>
    <row r="174" spans="1:15" ht="36" x14ac:dyDescent="0.3">
      <c r="A174" s="12">
        <v>2</v>
      </c>
      <c r="B174" s="40" t="s">
        <v>23</v>
      </c>
      <c r="C174" s="39" t="s">
        <v>1172</v>
      </c>
      <c r="D174" s="28" t="s">
        <v>1192</v>
      </c>
      <c r="E174" s="28" t="s">
        <v>1261</v>
      </c>
      <c r="F174" s="13">
        <v>4.1666666666666666E-3</v>
      </c>
      <c r="G174" s="12">
        <v>6</v>
      </c>
      <c r="H174" s="12" t="s">
        <v>1263</v>
      </c>
      <c r="I174" s="29" t="s">
        <v>1243</v>
      </c>
      <c r="J174" s="12" t="s">
        <v>21</v>
      </c>
      <c r="K174" s="12" t="s">
        <v>33</v>
      </c>
      <c r="L174" s="33"/>
      <c r="M174" s="33"/>
      <c r="N174" s="33"/>
      <c r="O174" s="12" t="s">
        <v>1351</v>
      </c>
    </row>
    <row r="175" spans="1:15" ht="36" x14ac:dyDescent="0.3">
      <c r="A175" s="12">
        <v>3</v>
      </c>
      <c r="B175" s="40" t="s">
        <v>23</v>
      </c>
      <c r="C175" s="39" t="s">
        <v>1172</v>
      </c>
      <c r="D175" s="28" t="s">
        <v>1193</v>
      </c>
      <c r="E175" s="28" t="s">
        <v>1204</v>
      </c>
      <c r="F175" s="13">
        <v>3.5115740742185153E-2</v>
      </c>
      <c r="G175" s="12">
        <v>51</v>
      </c>
      <c r="H175" s="12" t="s">
        <v>1206</v>
      </c>
      <c r="I175" s="29" t="s">
        <v>1244</v>
      </c>
      <c r="J175" s="12" t="s">
        <v>52</v>
      </c>
      <c r="K175" s="12" t="s">
        <v>33</v>
      </c>
      <c r="L175" s="33"/>
      <c r="M175" s="33"/>
      <c r="N175" s="33"/>
      <c r="O175" s="33" t="s">
        <v>136</v>
      </c>
    </row>
    <row r="176" spans="1:15" ht="24" x14ac:dyDescent="0.3">
      <c r="A176" s="12">
        <v>4</v>
      </c>
      <c r="B176" s="40" t="s">
        <v>23</v>
      </c>
      <c r="C176" s="39" t="s">
        <v>1172</v>
      </c>
      <c r="D176" s="28" t="s">
        <v>1194</v>
      </c>
      <c r="E176" s="28" t="s">
        <v>1203</v>
      </c>
      <c r="F176" s="13">
        <v>6.0185185429872945E-4</v>
      </c>
      <c r="G176" s="12">
        <v>1</v>
      </c>
      <c r="H176" s="12" t="s">
        <v>1207</v>
      </c>
      <c r="I176" s="29" t="s">
        <v>1245</v>
      </c>
      <c r="J176" s="12" t="s">
        <v>21</v>
      </c>
      <c r="K176" s="12" t="s">
        <v>33</v>
      </c>
      <c r="L176" s="33"/>
      <c r="M176" s="33"/>
      <c r="N176" s="33"/>
      <c r="O176" s="33" t="s">
        <v>1352</v>
      </c>
    </row>
    <row r="177" spans="1:15" ht="36" x14ac:dyDescent="0.3">
      <c r="A177" s="12">
        <v>5</v>
      </c>
      <c r="B177" s="40" t="s">
        <v>23</v>
      </c>
      <c r="C177" s="39" t="s">
        <v>1172</v>
      </c>
      <c r="D177" s="28" t="s">
        <v>1195</v>
      </c>
      <c r="E177" s="28" t="s">
        <v>1202</v>
      </c>
      <c r="F177" s="13">
        <v>4.166666665696539E-3</v>
      </c>
      <c r="G177" s="12">
        <v>6</v>
      </c>
      <c r="H177" s="12" t="s">
        <v>1208</v>
      </c>
      <c r="I177" s="29" t="s">
        <v>1246</v>
      </c>
      <c r="J177" s="12" t="s">
        <v>21</v>
      </c>
      <c r="K177" s="12" t="s">
        <v>33</v>
      </c>
      <c r="L177" s="33"/>
      <c r="M177" s="33"/>
      <c r="N177" s="33"/>
      <c r="O177" s="33" t="s">
        <v>1353</v>
      </c>
    </row>
    <row r="178" spans="1:15" ht="36" x14ac:dyDescent="0.3">
      <c r="A178" s="12">
        <v>6</v>
      </c>
      <c r="B178" s="40" t="s">
        <v>23</v>
      </c>
      <c r="C178" s="39" t="s">
        <v>1172</v>
      </c>
      <c r="D178" s="28" t="s">
        <v>1196</v>
      </c>
      <c r="E178" s="28" t="s">
        <v>1201</v>
      </c>
      <c r="F178" s="13">
        <v>2.0833333328482695E-3</v>
      </c>
      <c r="G178" s="12">
        <v>3</v>
      </c>
      <c r="H178" s="12" t="s">
        <v>1208</v>
      </c>
      <c r="I178" s="29" t="s">
        <v>1242</v>
      </c>
      <c r="J178" s="12" t="s">
        <v>21</v>
      </c>
      <c r="K178" s="12" t="s">
        <v>33</v>
      </c>
      <c r="L178" s="33"/>
      <c r="M178" s="33"/>
      <c r="N178" s="33"/>
      <c r="O178" s="33" t="s">
        <v>1353</v>
      </c>
    </row>
    <row r="179" spans="1:15" ht="24" x14ac:dyDescent="0.3">
      <c r="A179" s="12">
        <v>7</v>
      </c>
      <c r="B179" s="40" t="s">
        <v>23</v>
      </c>
      <c r="C179" s="39" t="s">
        <v>1172</v>
      </c>
      <c r="D179" s="28" t="s">
        <v>1197</v>
      </c>
      <c r="E179" s="28" t="s">
        <v>1200</v>
      </c>
      <c r="F179" s="13">
        <v>1.3888888861401938E-3</v>
      </c>
      <c r="G179" s="12">
        <v>2</v>
      </c>
      <c r="H179" s="12" t="s">
        <v>1209</v>
      </c>
      <c r="I179" s="29" t="s">
        <v>1241</v>
      </c>
      <c r="J179" s="12" t="s">
        <v>21</v>
      </c>
      <c r="K179" s="12" t="s">
        <v>33</v>
      </c>
      <c r="L179" s="33"/>
      <c r="M179" s="33"/>
      <c r="N179" s="33"/>
      <c r="O179" s="33" t="s">
        <v>1354</v>
      </c>
    </row>
    <row r="180" spans="1:15" ht="24" x14ac:dyDescent="0.3">
      <c r="A180" s="12">
        <v>8</v>
      </c>
      <c r="B180" s="40" t="s">
        <v>23</v>
      </c>
      <c r="C180" s="39" t="s">
        <v>1172</v>
      </c>
      <c r="D180" s="28" t="s">
        <v>1198</v>
      </c>
      <c r="E180" s="28" t="s">
        <v>1199</v>
      </c>
      <c r="F180" s="13">
        <v>2.0833333328482695E-3</v>
      </c>
      <c r="G180" s="12">
        <v>3</v>
      </c>
      <c r="H180" s="12" t="s">
        <v>1209</v>
      </c>
      <c r="I180" s="29" t="s">
        <v>1225</v>
      </c>
      <c r="J180" s="12" t="s">
        <v>21</v>
      </c>
      <c r="K180" s="12" t="s">
        <v>33</v>
      </c>
      <c r="L180" s="33"/>
      <c r="M180" s="33"/>
      <c r="N180" s="33"/>
      <c r="O180" s="33" t="s">
        <v>1354</v>
      </c>
    </row>
    <row r="181" spans="1:15" ht="60" x14ac:dyDescent="0.3">
      <c r="A181" s="12">
        <v>9</v>
      </c>
      <c r="B181" s="43" t="s">
        <v>15</v>
      </c>
      <c r="C181" s="39" t="s">
        <v>1172</v>
      </c>
      <c r="D181" s="28" t="s">
        <v>1264</v>
      </c>
      <c r="E181" s="28" t="s">
        <v>1265</v>
      </c>
      <c r="F181" s="13">
        <v>8.3680555544560775E-3</v>
      </c>
      <c r="G181" s="12">
        <v>12</v>
      </c>
      <c r="H181" s="12" t="s">
        <v>1268</v>
      </c>
      <c r="I181" s="29" t="s">
        <v>1226</v>
      </c>
      <c r="J181" s="12" t="s">
        <v>21</v>
      </c>
      <c r="K181" s="12" t="s">
        <v>33</v>
      </c>
      <c r="L181" s="33"/>
      <c r="M181" s="33"/>
      <c r="N181" s="33"/>
      <c r="O181" s="12" t="s">
        <v>1365</v>
      </c>
    </row>
    <row r="182" spans="1:15" ht="48" x14ac:dyDescent="0.3">
      <c r="A182" s="12">
        <v>10</v>
      </c>
      <c r="B182" s="43" t="s">
        <v>15</v>
      </c>
      <c r="C182" s="39" t="s">
        <v>1172</v>
      </c>
      <c r="D182" s="28" t="s">
        <v>1264</v>
      </c>
      <c r="E182" s="28" t="s">
        <v>1229</v>
      </c>
      <c r="F182" s="13">
        <v>2.0486111112404615E-2</v>
      </c>
      <c r="G182" s="12">
        <v>30</v>
      </c>
      <c r="H182" s="12" t="s">
        <v>1267</v>
      </c>
      <c r="I182" s="29" t="s">
        <v>1228</v>
      </c>
      <c r="J182" s="12" t="s">
        <v>52</v>
      </c>
      <c r="K182" s="12" t="s">
        <v>33</v>
      </c>
      <c r="L182" s="33"/>
      <c r="M182" s="33"/>
      <c r="N182" s="33"/>
      <c r="O182" s="12" t="s">
        <v>1364</v>
      </c>
    </row>
    <row r="183" spans="1:15" ht="48" x14ac:dyDescent="0.3">
      <c r="A183" s="12">
        <v>11</v>
      </c>
      <c r="B183" s="43" t="s">
        <v>15</v>
      </c>
      <c r="C183" s="39" t="s">
        <v>1172</v>
      </c>
      <c r="D183" s="28" t="s">
        <v>1264</v>
      </c>
      <c r="E183" s="28" t="s">
        <v>1266</v>
      </c>
      <c r="F183" s="13">
        <v>5.1284722219861578E-2</v>
      </c>
      <c r="G183" s="12">
        <v>74</v>
      </c>
      <c r="H183" s="12" t="s">
        <v>1227</v>
      </c>
      <c r="I183" s="29" t="s">
        <v>1228</v>
      </c>
      <c r="J183" s="12" t="s">
        <v>52</v>
      </c>
      <c r="K183" s="12" t="s">
        <v>33</v>
      </c>
      <c r="L183" s="33"/>
      <c r="M183" s="33"/>
      <c r="N183" s="33"/>
      <c r="O183" s="12" t="s">
        <v>1363</v>
      </c>
    </row>
    <row r="184" spans="1:15" ht="24" x14ac:dyDescent="0.3">
      <c r="A184" s="12">
        <v>12</v>
      </c>
      <c r="B184" s="43" t="s">
        <v>15</v>
      </c>
      <c r="C184" s="39" t="s">
        <v>1172</v>
      </c>
      <c r="D184" s="28" t="s">
        <v>1341</v>
      </c>
      <c r="E184" s="28" t="s">
        <v>1253</v>
      </c>
      <c r="F184" s="13">
        <v>0.87295138888888879</v>
      </c>
      <c r="G184" s="12">
        <v>1257</v>
      </c>
      <c r="H184" s="12" t="s">
        <v>1463</v>
      </c>
      <c r="I184" s="29" t="s">
        <v>1248</v>
      </c>
      <c r="J184" s="12" t="s">
        <v>21</v>
      </c>
      <c r="K184" s="12" t="s">
        <v>22</v>
      </c>
      <c r="L184" s="33"/>
      <c r="M184" s="33"/>
      <c r="N184" s="33"/>
      <c r="O184" s="33" t="s">
        <v>1259</v>
      </c>
    </row>
    <row r="185" spans="1:15" ht="96" x14ac:dyDescent="0.3">
      <c r="A185" s="12">
        <v>13</v>
      </c>
      <c r="B185" s="40" t="s">
        <v>23</v>
      </c>
      <c r="C185" s="39" t="s">
        <v>1172</v>
      </c>
      <c r="D185" s="28" t="s">
        <v>1231</v>
      </c>
      <c r="E185" s="28" t="s">
        <v>1232</v>
      </c>
      <c r="F185" s="13">
        <v>2.2569444408873096E-3</v>
      </c>
      <c r="G185" s="12">
        <v>3</v>
      </c>
      <c r="H185" s="12" t="s">
        <v>1344</v>
      </c>
      <c r="I185" s="29" t="s">
        <v>1260</v>
      </c>
      <c r="J185" s="12" t="s">
        <v>21</v>
      </c>
      <c r="K185" s="12" t="s">
        <v>33</v>
      </c>
      <c r="L185" s="33"/>
      <c r="M185" s="33"/>
      <c r="N185" s="33"/>
      <c r="O185" s="12" t="s">
        <v>1362</v>
      </c>
    </row>
    <row r="186" spans="1:15" ht="36" x14ac:dyDescent="0.3">
      <c r="A186" s="12">
        <v>14</v>
      </c>
      <c r="B186" s="40" t="s">
        <v>23</v>
      </c>
      <c r="C186" s="39" t="s">
        <v>1172</v>
      </c>
      <c r="D186" s="28" t="s">
        <v>1231</v>
      </c>
      <c r="E186" s="28" t="s">
        <v>1232</v>
      </c>
      <c r="F186" s="13">
        <v>2.2569444408873096E-3</v>
      </c>
      <c r="G186" s="12">
        <v>3</v>
      </c>
      <c r="H186" s="12" t="s">
        <v>348</v>
      </c>
      <c r="I186" s="29" t="s">
        <v>1260</v>
      </c>
      <c r="J186" s="12" t="s">
        <v>21</v>
      </c>
      <c r="K186" s="12" t="s">
        <v>175</v>
      </c>
      <c r="L186" s="33"/>
      <c r="M186" s="33"/>
      <c r="N186" s="33"/>
      <c r="O186" s="33" t="s">
        <v>417</v>
      </c>
    </row>
    <row r="187" spans="1:15" ht="36" x14ac:dyDescent="0.3">
      <c r="A187" s="12">
        <v>15</v>
      </c>
      <c r="B187" s="40" t="s">
        <v>23</v>
      </c>
      <c r="C187" s="39" t="s">
        <v>1172</v>
      </c>
      <c r="D187" s="28" t="s">
        <v>1346</v>
      </c>
      <c r="E187" s="28" t="s">
        <v>1347</v>
      </c>
      <c r="F187" s="13">
        <v>1.3541666630771942E-3</v>
      </c>
      <c r="G187" s="12">
        <v>2</v>
      </c>
      <c r="H187" s="12" t="s">
        <v>227</v>
      </c>
      <c r="I187" s="29" t="s">
        <v>1345</v>
      </c>
      <c r="J187" s="12" t="s">
        <v>21</v>
      </c>
      <c r="K187" s="12" t="s">
        <v>33</v>
      </c>
      <c r="L187" s="33"/>
      <c r="M187" s="33"/>
      <c r="N187" s="33"/>
      <c r="O187" s="33" t="s">
        <v>229</v>
      </c>
    </row>
    <row r="188" spans="1:15" ht="84" x14ac:dyDescent="0.3">
      <c r="A188" s="12">
        <v>16</v>
      </c>
      <c r="B188" s="40" t="s">
        <v>23</v>
      </c>
      <c r="C188" s="39" t="s">
        <v>1172</v>
      </c>
      <c r="D188" s="28" t="s">
        <v>1233</v>
      </c>
      <c r="E188" s="28" t="s">
        <v>1234</v>
      </c>
      <c r="F188" s="13">
        <v>1.3888888861401938E-3</v>
      </c>
      <c r="G188" s="12">
        <v>2</v>
      </c>
      <c r="H188" s="12" t="s">
        <v>1312</v>
      </c>
      <c r="I188" s="29" t="s">
        <v>1230</v>
      </c>
      <c r="J188" s="12" t="s">
        <v>21</v>
      </c>
      <c r="K188" s="12" t="s">
        <v>33</v>
      </c>
      <c r="L188" s="33"/>
      <c r="M188" s="33"/>
      <c r="N188" s="33"/>
      <c r="O188" s="12" t="s">
        <v>1361</v>
      </c>
    </row>
    <row r="189" spans="1:15" ht="60" x14ac:dyDescent="0.3">
      <c r="A189" s="12">
        <v>17</v>
      </c>
      <c r="B189" s="40" t="s">
        <v>23</v>
      </c>
      <c r="C189" s="39" t="s">
        <v>1172</v>
      </c>
      <c r="D189" s="28" t="s">
        <v>1233</v>
      </c>
      <c r="E189" s="28" t="s">
        <v>1234</v>
      </c>
      <c r="F189" s="13">
        <v>1.3888888861401938E-3</v>
      </c>
      <c r="G189" s="12">
        <v>2</v>
      </c>
      <c r="H189" s="12" t="s">
        <v>348</v>
      </c>
      <c r="I189" s="29" t="s">
        <v>1230</v>
      </c>
      <c r="J189" s="12" t="s">
        <v>21</v>
      </c>
      <c r="K189" s="12" t="s">
        <v>175</v>
      </c>
      <c r="L189" s="33"/>
      <c r="M189" s="33"/>
      <c r="N189" s="33"/>
      <c r="O189" s="33" t="s">
        <v>417</v>
      </c>
    </row>
    <row r="190" spans="1:15" ht="36" x14ac:dyDescent="0.3">
      <c r="A190" s="12">
        <v>18</v>
      </c>
      <c r="B190" s="40" t="s">
        <v>23</v>
      </c>
      <c r="C190" s="39" t="s">
        <v>1172</v>
      </c>
      <c r="D190" s="28" t="s">
        <v>1357</v>
      </c>
      <c r="E190" s="28" t="s">
        <v>1358</v>
      </c>
      <c r="F190" s="13">
        <v>7.638888928340748E-4</v>
      </c>
      <c r="G190" s="12">
        <v>1</v>
      </c>
      <c r="H190" s="12" t="s">
        <v>227</v>
      </c>
      <c r="I190" s="29" t="s">
        <v>1348</v>
      </c>
      <c r="J190" s="12" t="s">
        <v>21</v>
      </c>
      <c r="K190" s="12" t="s">
        <v>33</v>
      </c>
      <c r="L190" s="33"/>
      <c r="M190" s="33"/>
      <c r="N190" s="33"/>
      <c r="O190" s="33" t="s">
        <v>229</v>
      </c>
    </row>
    <row r="191" spans="1:15" ht="84" x14ac:dyDescent="0.3">
      <c r="A191" s="12">
        <v>19</v>
      </c>
      <c r="B191" s="43" t="s">
        <v>15</v>
      </c>
      <c r="C191" s="39" t="s">
        <v>1172</v>
      </c>
      <c r="D191" s="28" t="s">
        <v>1342</v>
      </c>
      <c r="E191" s="28" t="s">
        <v>1343</v>
      </c>
      <c r="F191" s="13">
        <v>4.2430555555555555E-2</v>
      </c>
      <c r="G191" s="12">
        <v>61</v>
      </c>
      <c r="H191" s="12" t="s">
        <v>1518</v>
      </c>
      <c r="I191" s="29" t="s">
        <v>1250</v>
      </c>
      <c r="J191" s="12" t="s">
        <v>52</v>
      </c>
      <c r="K191" s="12" t="s">
        <v>33</v>
      </c>
      <c r="L191" s="33"/>
      <c r="M191" s="33"/>
      <c r="N191" s="33"/>
      <c r="O191" s="33" t="s">
        <v>1356</v>
      </c>
    </row>
    <row r="192" spans="1:15" ht="48" x14ac:dyDescent="0.3">
      <c r="A192" s="33">
        <v>20</v>
      </c>
      <c r="B192" s="40" t="s">
        <v>23</v>
      </c>
      <c r="C192" s="39" t="s">
        <v>1172</v>
      </c>
      <c r="D192" s="28" t="s">
        <v>1359</v>
      </c>
      <c r="E192" s="28" t="s">
        <v>1360</v>
      </c>
      <c r="F192" s="13">
        <v>7.175925922638271E-3</v>
      </c>
      <c r="G192" s="12">
        <v>10</v>
      </c>
      <c r="H192" s="12" t="s">
        <v>227</v>
      </c>
      <c r="I192" s="29" t="s">
        <v>1349</v>
      </c>
      <c r="J192" s="12" t="s">
        <v>21</v>
      </c>
      <c r="K192" s="12" t="s">
        <v>33</v>
      </c>
      <c r="L192" s="33"/>
      <c r="M192" s="33"/>
      <c r="N192" s="33"/>
      <c r="O192" s="33" t="s">
        <v>229</v>
      </c>
    </row>
    <row r="193" spans="1:16" ht="24" x14ac:dyDescent="0.3">
      <c r="A193" s="33">
        <v>21</v>
      </c>
      <c r="B193" s="40" t="s">
        <v>23</v>
      </c>
      <c r="C193" s="39" t="s">
        <v>1172</v>
      </c>
      <c r="D193" s="28" t="s">
        <v>1256</v>
      </c>
      <c r="E193" s="28" t="s">
        <v>1257</v>
      </c>
      <c r="F193" s="13">
        <v>4.4560185185185189E-3</v>
      </c>
      <c r="G193" s="12">
        <v>6</v>
      </c>
      <c r="H193" s="12" t="s">
        <v>1255</v>
      </c>
      <c r="I193" s="29" t="s">
        <v>1258</v>
      </c>
      <c r="J193" s="12" t="s">
        <v>334</v>
      </c>
      <c r="K193" s="12" t="s">
        <v>33</v>
      </c>
      <c r="L193" s="33"/>
      <c r="M193" s="33"/>
      <c r="N193" s="33"/>
      <c r="O193" s="33" t="s">
        <v>1254</v>
      </c>
    </row>
    <row r="194" spans="1:16" ht="24" x14ac:dyDescent="0.3">
      <c r="A194" s="33">
        <v>22</v>
      </c>
      <c r="B194" s="43" t="s">
        <v>15</v>
      </c>
      <c r="C194" s="39" t="s">
        <v>1172</v>
      </c>
      <c r="D194" s="28" t="s">
        <v>1321</v>
      </c>
      <c r="E194" s="28" t="s">
        <v>1322</v>
      </c>
      <c r="F194" s="13">
        <v>0.18197916666666666</v>
      </c>
      <c r="G194" s="12">
        <v>262</v>
      </c>
      <c r="H194" s="12" t="s">
        <v>1463</v>
      </c>
      <c r="I194" s="29" t="s">
        <v>1377</v>
      </c>
      <c r="J194" s="12" t="s">
        <v>21</v>
      </c>
      <c r="K194" s="12" t="s">
        <v>22</v>
      </c>
      <c r="L194" s="33"/>
      <c r="M194" s="33"/>
      <c r="N194" s="33"/>
      <c r="O194" s="33" t="s">
        <v>1259</v>
      </c>
    </row>
    <row r="195" spans="1:16" ht="24" x14ac:dyDescent="0.3">
      <c r="A195" s="33">
        <v>23</v>
      </c>
      <c r="B195" s="43" t="s">
        <v>36</v>
      </c>
      <c r="C195" s="39" t="s">
        <v>1172</v>
      </c>
      <c r="D195" s="28" t="s">
        <v>1323</v>
      </c>
      <c r="E195" s="28" t="s">
        <v>1324</v>
      </c>
      <c r="F195" s="13">
        <v>9.0277777777777776E-2</v>
      </c>
      <c r="G195" s="12">
        <v>130</v>
      </c>
      <c r="H195" s="12" t="s">
        <v>1372</v>
      </c>
      <c r="I195" s="29" t="s">
        <v>1366</v>
      </c>
      <c r="J195" s="33" t="s">
        <v>28</v>
      </c>
      <c r="K195" s="33" t="s">
        <v>22</v>
      </c>
      <c r="L195" s="33"/>
      <c r="M195" s="33"/>
      <c r="N195" s="33"/>
      <c r="O195" s="33" t="s">
        <v>1355</v>
      </c>
    </row>
    <row r="196" spans="1:16" ht="24" x14ac:dyDescent="0.3">
      <c r="A196" s="33">
        <v>24</v>
      </c>
      <c r="B196" s="43" t="s">
        <v>36</v>
      </c>
      <c r="C196" s="39" t="s">
        <v>1172</v>
      </c>
      <c r="D196" s="28" t="s">
        <v>1325</v>
      </c>
      <c r="E196" s="28" t="s">
        <v>1465</v>
      </c>
      <c r="F196" s="13">
        <v>9.1099537037037034E-2</v>
      </c>
      <c r="G196" s="12">
        <v>131</v>
      </c>
      <c r="H196" s="12" t="s">
        <v>1281</v>
      </c>
      <c r="I196" s="29" t="s">
        <v>1326</v>
      </c>
      <c r="J196" s="12" t="s">
        <v>1055</v>
      </c>
      <c r="K196" s="12" t="s">
        <v>33</v>
      </c>
      <c r="L196" s="33"/>
      <c r="M196" s="33"/>
      <c r="N196" s="33"/>
      <c r="O196" s="33" t="s">
        <v>111</v>
      </c>
      <c r="P196" s="11">
        <f>119-131</f>
        <v>-12</v>
      </c>
    </row>
    <row r="197" spans="1:16" ht="24" x14ac:dyDescent="0.3">
      <c r="A197" s="33">
        <v>25</v>
      </c>
      <c r="B197" s="40" t="s">
        <v>23</v>
      </c>
      <c r="C197" s="39" t="s">
        <v>1172</v>
      </c>
      <c r="D197" s="28" t="s">
        <v>1367</v>
      </c>
      <c r="E197" s="28" t="s">
        <v>1368</v>
      </c>
      <c r="F197" s="13">
        <v>8.611111111111111E-3</v>
      </c>
      <c r="G197" s="12">
        <v>12</v>
      </c>
      <c r="H197" s="12" t="s">
        <v>1369</v>
      </c>
      <c r="I197" s="29" t="s">
        <v>1371</v>
      </c>
      <c r="J197" s="12" t="s">
        <v>21</v>
      </c>
      <c r="K197" s="12" t="s">
        <v>33</v>
      </c>
      <c r="L197" s="33"/>
      <c r="M197" s="33"/>
      <c r="N197" s="33"/>
      <c r="O197" s="33" t="s">
        <v>1370</v>
      </c>
    </row>
    <row r="198" spans="1:16" ht="96" x14ac:dyDescent="0.3">
      <c r="A198" s="33">
        <v>26</v>
      </c>
      <c r="B198" s="40" t="s">
        <v>23</v>
      </c>
      <c r="C198" s="39" t="s">
        <v>1172</v>
      </c>
      <c r="D198" s="28" t="s">
        <v>1413</v>
      </c>
      <c r="E198" s="28" t="s">
        <v>1414</v>
      </c>
      <c r="F198" s="13">
        <v>1.0416666666666666E-2</v>
      </c>
      <c r="G198" s="12">
        <v>15</v>
      </c>
      <c r="H198" s="12" t="s">
        <v>1432</v>
      </c>
      <c r="I198" s="29" t="s">
        <v>1426</v>
      </c>
      <c r="J198" s="12" t="s">
        <v>21</v>
      </c>
      <c r="K198" s="12" t="s">
        <v>33</v>
      </c>
      <c r="L198" s="33"/>
      <c r="M198" s="33"/>
      <c r="N198" s="33"/>
      <c r="O198" s="12" t="s">
        <v>1466</v>
      </c>
    </row>
    <row r="199" spans="1:16" ht="60" x14ac:dyDescent="0.3">
      <c r="A199" s="33">
        <v>27</v>
      </c>
      <c r="B199" s="40" t="s">
        <v>23</v>
      </c>
      <c r="C199" s="39" t="s">
        <v>1172</v>
      </c>
      <c r="D199" s="28" t="s">
        <v>1415</v>
      </c>
      <c r="E199" s="28" t="s">
        <v>1416</v>
      </c>
      <c r="F199" s="13">
        <v>4.1666666666666666E-3</v>
      </c>
      <c r="G199" s="12">
        <v>6</v>
      </c>
      <c r="H199" s="12" t="s">
        <v>1436</v>
      </c>
      <c r="I199" s="29" t="s">
        <v>1385</v>
      </c>
      <c r="J199" s="12" t="s">
        <v>21</v>
      </c>
      <c r="K199" s="12" t="s">
        <v>33</v>
      </c>
      <c r="L199" s="33"/>
      <c r="M199" s="33"/>
      <c r="N199" s="33"/>
      <c r="O199" s="12" t="s">
        <v>1467</v>
      </c>
    </row>
    <row r="200" spans="1:16" ht="96" x14ac:dyDescent="0.3">
      <c r="A200" s="33">
        <v>28</v>
      </c>
      <c r="B200" s="43" t="s">
        <v>15</v>
      </c>
      <c r="C200" s="39" t="s">
        <v>1172</v>
      </c>
      <c r="D200" s="28" t="s">
        <v>1417</v>
      </c>
      <c r="E200" s="28" t="s">
        <v>1418</v>
      </c>
      <c r="F200" s="13">
        <v>7.9166666666666663E-2</v>
      </c>
      <c r="G200" s="12">
        <v>114</v>
      </c>
      <c r="H200" s="12" t="s">
        <v>1437</v>
      </c>
      <c r="I200" s="29" t="s">
        <v>1438</v>
      </c>
      <c r="J200" s="12" t="s">
        <v>21</v>
      </c>
      <c r="K200" s="12" t="s">
        <v>33</v>
      </c>
      <c r="L200" s="33"/>
      <c r="M200" s="33"/>
      <c r="N200" s="33"/>
      <c r="O200" s="12" t="s">
        <v>1468</v>
      </c>
    </row>
    <row r="201" spans="1:16" ht="96" x14ac:dyDescent="0.3">
      <c r="A201" s="33">
        <v>29</v>
      </c>
      <c r="B201" s="43" t="s">
        <v>15</v>
      </c>
      <c r="C201" s="39" t="s">
        <v>1172</v>
      </c>
      <c r="D201" s="28" t="s">
        <v>1419</v>
      </c>
      <c r="E201" s="28" t="s">
        <v>1420</v>
      </c>
      <c r="F201" s="13">
        <v>2.013888888888889E-2</v>
      </c>
      <c r="G201" s="12">
        <v>29</v>
      </c>
      <c r="H201" s="12" t="s">
        <v>1437</v>
      </c>
      <c r="I201" s="29" t="s">
        <v>1386</v>
      </c>
      <c r="J201" s="12" t="s">
        <v>21</v>
      </c>
      <c r="K201" s="12" t="s">
        <v>33</v>
      </c>
      <c r="L201" s="33"/>
      <c r="M201" s="33"/>
      <c r="N201" s="33"/>
      <c r="O201" s="12" t="s">
        <v>1468</v>
      </c>
    </row>
    <row r="202" spans="1:16" ht="36" x14ac:dyDescent="0.3">
      <c r="A202" s="74">
        <v>30</v>
      </c>
      <c r="B202" s="75" t="s">
        <v>23</v>
      </c>
      <c r="C202" s="76" t="s">
        <v>1172</v>
      </c>
      <c r="D202" s="77" t="s">
        <v>1421</v>
      </c>
      <c r="E202" s="77" t="s">
        <v>1427</v>
      </c>
      <c r="F202" s="78">
        <v>4.8611111111111112E-3</v>
      </c>
      <c r="G202" s="79">
        <v>7</v>
      </c>
      <c r="H202" s="79" t="s">
        <v>1408</v>
      </c>
      <c r="I202" s="80" t="s">
        <v>1424</v>
      </c>
      <c r="J202" s="79" t="s">
        <v>21</v>
      </c>
      <c r="K202" s="12" t="s">
        <v>33</v>
      </c>
      <c r="L202" s="33"/>
      <c r="M202" s="82"/>
      <c r="N202" s="82"/>
      <c r="O202" s="12" t="s">
        <v>1517</v>
      </c>
    </row>
    <row r="203" spans="1:16" ht="57.65" customHeight="1" x14ac:dyDescent="0.3">
      <c r="A203" s="33">
        <v>31</v>
      </c>
      <c r="B203" s="40" t="s">
        <v>23</v>
      </c>
      <c r="C203" s="39" t="s">
        <v>1172</v>
      </c>
      <c r="D203" s="28" t="s">
        <v>1422</v>
      </c>
      <c r="E203" s="28" t="s">
        <v>1423</v>
      </c>
      <c r="F203" s="13">
        <v>7.662037038244307E-3</v>
      </c>
      <c r="G203" s="12">
        <v>11</v>
      </c>
      <c r="H203" s="12" t="s">
        <v>1412</v>
      </c>
      <c r="I203" s="29" t="s">
        <v>1425</v>
      </c>
      <c r="J203" s="12" t="s">
        <v>21</v>
      </c>
      <c r="K203" s="12" t="s">
        <v>33</v>
      </c>
      <c r="L203" s="33"/>
      <c r="M203" s="82"/>
      <c r="N203" s="82"/>
      <c r="O203" s="12" t="s">
        <v>1469</v>
      </c>
    </row>
    <row r="204" spans="1:16" ht="25.25" customHeight="1" x14ac:dyDescent="0.3">
      <c r="A204" s="33">
        <v>32</v>
      </c>
      <c r="B204" s="40" t="s">
        <v>23</v>
      </c>
      <c r="C204" s="39" t="s">
        <v>1172</v>
      </c>
      <c r="D204" s="28" t="s">
        <v>1455</v>
      </c>
      <c r="E204" s="28" t="s">
        <v>1456</v>
      </c>
      <c r="F204" s="13">
        <v>6.8287036992842332E-4</v>
      </c>
      <c r="G204" s="33">
        <v>1</v>
      </c>
      <c r="H204" s="79" t="s">
        <v>1470</v>
      </c>
      <c r="I204" s="84" t="s">
        <v>1464</v>
      </c>
      <c r="J204" s="12" t="s">
        <v>21</v>
      </c>
      <c r="K204" s="12" t="s">
        <v>33</v>
      </c>
      <c r="L204" s="33"/>
      <c r="M204" s="82"/>
      <c r="N204" s="82"/>
      <c r="O204" s="89" t="s">
        <v>1471</v>
      </c>
    </row>
    <row r="205" spans="1:16" ht="24" x14ac:dyDescent="0.3">
      <c r="A205" s="33">
        <v>33</v>
      </c>
      <c r="B205" s="40" t="s">
        <v>36</v>
      </c>
      <c r="C205" s="39" t="s">
        <v>1172</v>
      </c>
      <c r="D205" s="28" t="s">
        <v>1457</v>
      </c>
      <c r="E205" s="28" t="s">
        <v>1473</v>
      </c>
      <c r="F205" s="13">
        <v>6.5277777777777782E-2</v>
      </c>
      <c r="G205" s="33">
        <v>94</v>
      </c>
      <c r="H205" s="12" t="s">
        <v>1482</v>
      </c>
      <c r="I205" s="86" t="s">
        <v>1589</v>
      </c>
      <c r="J205" s="12" t="s">
        <v>174</v>
      </c>
      <c r="K205" s="12" t="s">
        <v>33</v>
      </c>
      <c r="L205" s="33"/>
      <c r="M205" s="82"/>
      <c r="N205" s="82"/>
      <c r="O205" s="89" t="s">
        <v>1472</v>
      </c>
    </row>
    <row r="206" spans="1:16" ht="24" x14ac:dyDescent="0.3">
      <c r="A206" s="33">
        <v>35</v>
      </c>
      <c r="B206" s="75" t="s">
        <v>36</v>
      </c>
      <c r="C206" s="39" t="s">
        <v>1172</v>
      </c>
      <c r="D206" s="28" t="s">
        <v>1615</v>
      </c>
      <c r="E206" s="28" t="s">
        <v>1616</v>
      </c>
      <c r="F206" s="13">
        <v>1.0416666191304103E-4</v>
      </c>
      <c r="G206" s="33">
        <v>0</v>
      </c>
      <c r="H206" s="79" t="s">
        <v>270</v>
      </c>
      <c r="I206" s="87" t="s">
        <v>1617</v>
      </c>
      <c r="J206" s="12" t="s">
        <v>174</v>
      </c>
      <c r="K206" s="12" t="s">
        <v>175</v>
      </c>
      <c r="L206" s="33"/>
      <c r="M206" s="82"/>
      <c r="N206" s="82"/>
      <c r="O206" s="12" t="s">
        <v>272</v>
      </c>
    </row>
    <row r="207" spans="1:16" ht="36" x14ac:dyDescent="0.3">
      <c r="A207" s="33">
        <v>36</v>
      </c>
      <c r="B207" s="88" t="s">
        <v>15</v>
      </c>
      <c r="C207" s="39" t="s">
        <v>1172</v>
      </c>
      <c r="D207" s="28" t="s">
        <v>1458</v>
      </c>
      <c r="E207" s="28" t="s">
        <v>1481</v>
      </c>
      <c r="F207" s="94">
        <v>1.1375</v>
      </c>
      <c r="G207" s="33">
        <v>1638</v>
      </c>
      <c r="H207" s="12" t="s">
        <v>1462</v>
      </c>
      <c r="I207" s="87" t="s">
        <v>1598</v>
      </c>
      <c r="J207" s="12" t="s">
        <v>21</v>
      </c>
      <c r="K207" s="12" t="s">
        <v>22</v>
      </c>
      <c r="L207" s="33"/>
      <c r="M207" s="82"/>
      <c r="N207" s="82"/>
      <c r="O207" s="83"/>
    </row>
    <row r="208" spans="1:16" ht="24" x14ac:dyDescent="0.3">
      <c r="A208" s="33">
        <v>37</v>
      </c>
      <c r="B208" s="40" t="s">
        <v>23</v>
      </c>
      <c r="C208" s="39" t="s">
        <v>1172</v>
      </c>
      <c r="D208" s="28" t="s">
        <v>1459</v>
      </c>
      <c r="E208" s="28" t="s">
        <v>1460</v>
      </c>
      <c r="F208" s="13">
        <v>2.4652777792653069E-3</v>
      </c>
      <c r="G208" s="33">
        <v>4</v>
      </c>
      <c r="H208" s="12" t="s">
        <v>1453</v>
      </c>
      <c r="I208" s="84" t="s">
        <v>1454</v>
      </c>
      <c r="J208" s="12" t="s">
        <v>21</v>
      </c>
      <c r="K208" s="12" t="s">
        <v>33</v>
      </c>
      <c r="L208" s="33"/>
      <c r="M208" s="82"/>
      <c r="N208" s="82"/>
      <c r="O208" s="83" t="s">
        <v>229</v>
      </c>
    </row>
    <row r="209" spans="1:15" ht="36" x14ac:dyDescent="0.3">
      <c r="A209" s="33">
        <v>38</v>
      </c>
      <c r="B209" s="40" t="s">
        <v>23</v>
      </c>
      <c r="C209" s="39" t="s">
        <v>1172</v>
      </c>
      <c r="D209" s="28" t="s">
        <v>1476</v>
      </c>
      <c r="E209" s="28" t="s">
        <v>1477</v>
      </c>
      <c r="F209" s="13">
        <v>1.5046296321088448E-3</v>
      </c>
      <c r="G209" s="33">
        <v>2</v>
      </c>
      <c r="H209" s="12" t="s">
        <v>579</v>
      </c>
      <c r="I209" s="84" t="s">
        <v>1475</v>
      </c>
      <c r="J209" s="12" t="s">
        <v>21</v>
      </c>
      <c r="K209" s="12" t="s">
        <v>33</v>
      </c>
      <c r="L209" s="33" t="s">
        <v>1599</v>
      </c>
      <c r="M209" s="82"/>
      <c r="N209" s="82"/>
      <c r="O209" s="83" t="s">
        <v>1474</v>
      </c>
    </row>
    <row r="210" spans="1:15" ht="36" x14ac:dyDescent="0.3">
      <c r="A210" s="33">
        <v>39</v>
      </c>
      <c r="B210" s="40" t="s">
        <v>23</v>
      </c>
      <c r="C210" s="39" t="s">
        <v>1172</v>
      </c>
      <c r="D210" s="28" t="s">
        <v>1478</v>
      </c>
      <c r="E210" s="28" t="s">
        <v>1479</v>
      </c>
      <c r="F210" s="13">
        <v>1.7013888864312321E-3</v>
      </c>
      <c r="G210" s="33">
        <v>2</v>
      </c>
      <c r="H210" s="12" t="s">
        <v>579</v>
      </c>
      <c r="I210" s="84" t="s">
        <v>1480</v>
      </c>
      <c r="J210" s="12" t="s">
        <v>21</v>
      </c>
      <c r="K210" s="12" t="s">
        <v>33</v>
      </c>
      <c r="L210" s="33" t="s">
        <v>1599</v>
      </c>
      <c r="M210" s="82"/>
      <c r="N210" s="82"/>
      <c r="O210" s="83" t="s">
        <v>1474</v>
      </c>
    </row>
    <row r="211" spans="1:15" ht="84" x14ac:dyDescent="0.3">
      <c r="A211" s="33">
        <v>40</v>
      </c>
      <c r="B211" s="40" t="s">
        <v>23</v>
      </c>
      <c r="C211" s="39" t="s">
        <v>1172</v>
      </c>
      <c r="D211" s="28" t="s">
        <v>1495</v>
      </c>
      <c r="E211" s="28" t="s">
        <v>1496</v>
      </c>
      <c r="F211" s="13">
        <v>7.407407407407407E-4</v>
      </c>
      <c r="G211" s="33">
        <v>1</v>
      </c>
      <c r="H211" s="12" t="s">
        <v>1531</v>
      </c>
      <c r="I211" s="92" t="s">
        <v>1489</v>
      </c>
      <c r="J211" s="12" t="s">
        <v>21</v>
      </c>
      <c r="K211" s="12" t="s">
        <v>33</v>
      </c>
      <c r="L211" s="33"/>
      <c r="M211" s="82"/>
      <c r="N211" s="82"/>
      <c r="O211" s="84" t="s">
        <v>1618</v>
      </c>
    </row>
    <row r="212" spans="1:15" ht="24" x14ac:dyDescent="0.3">
      <c r="A212" s="33">
        <v>41</v>
      </c>
      <c r="B212" s="40" t="s">
        <v>23</v>
      </c>
      <c r="C212" s="39" t="s">
        <v>1172</v>
      </c>
      <c r="D212" s="28" t="s">
        <v>1495</v>
      </c>
      <c r="E212" s="28" t="s">
        <v>1496</v>
      </c>
      <c r="F212" s="13">
        <v>7.407407407407407E-4</v>
      </c>
      <c r="G212" s="33">
        <v>1</v>
      </c>
      <c r="H212" s="12" t="s">
        <v>1491</v>
      </c>
      <c r="I212" s="92" t="s">
        <v>1489</v>
      </c>
      <c r="J212" s="12" t="s">
        <v>21</v>
      </c>
      <c r="K212" s="12" t="s">
        <v>175</v>
      </c>
      <c r="L212" s="33"/>
      <c r="M212" s="82"/>
      <c r="N212" s="82"/>
      <c r="O212" s="83" t="s">
        <v>417</v>
      </c>
    </row>
    <row r="213" spans="1:15" ht="84" x14ac:dyDescent="0.3">
      <c r="A213" s="33">
        <v>42</v>
      </c>
      <c r="B213" s="40" t="s">
        <v>23</v>
      </c>
      <c r="C213" s="39" t="s">
        <v>1172</v>
      </c>
      <c r="D213" s="28" t="s">
        <v>1497</v>
      </c>
      <c r="E213" s="28" t="s">
        <v>1498</v>
      </c>
      <c r="F213" s="13">
        <v>8.7962962962962962E-4</v>
      </c>
      <c r="G213" s="33">
        <v>1</v>
      </c>
      <c r="H213" s="12" t="s">
        <v>1531</v>
      </c>
      <c r="I213" s="92" t="s">
        <v>1490</v>
      </c>
      <c r="J213" s="12" t="s">
        <v>21</v>
      </c>
      <c r="K213" s="12" t="s">
        <v>33</v>
      </c>
      <c r="L213" s="33"/>
      <c r="M213" s="82"/>
      <c r="N213" s="82"/>
      <c r="O213" s="84" t="s">
        <v>1618</v>
      </c>
    </row>
    <row r="214" spans="1:15" ht="24" x14ac:dyDescent="0.3">
      <c r="A214" s="33">
        <v>43</v>
      </c>
      <c r="B214" s="40" t="s">
        <v>23</v>
      </c>
      <c r="C214" s="39" t="s">
        <v>1172</v>
      </c>
      <c r="D214" s="28" t="s">
        <v>1497</v>
      </c>
      <c r="E214" s="28" t="s">
        <v>1498</v>
      </c>
      <c r="F214" s="13">
        <v>8.7962962962962962E-4</v>
      </c>
      <c r="G214" s="33">
        <v>1</v>
      </c>
      <c r="H214" s="12" t="s">
        <v>1491</v>
      </c>
      <c r="I214" s="92" t="s">
        <v>1490</v>
      </c>
      <c r="J214" s="12" t="s">
        <v>21</v>
      </c>
      <c r="K214" s="12" t="s">
        <v>175</v>
      </c>
      <c r="L214" s="33"/>
      <c r="M214" s="82"/>
      <c r="N214" s="82"/>
      <c r="O214" s="83" t="s">
        <v>417</v>
      </c>
    </row>
    <row r="215" spans="1:15" ht="24" x14ac:dyDescent="0.3">
      <c r="A215" s="33">
        <v>44</v>
      </c>
      <c r="B215" s="40" t="s">
        <v>23</v>
      </c>
      <c r="C215" s="39" t="s">
        <v>1172</v>
      </c>
      <c r="D215" s="28" t="s">
        <v>1499</v>
      </c>
      <c r="E215" s="28" t="s">
        <v>1500</v>
      </c>
      <c r="F215" s="13">
        <v>1.6666666666666666E-2</v>
      </c>
      <c r="G215" s="33">
        <v>0</v>
      </c>
      <c r="H215" s="12" t="s">
        <v>1491</v>
      </c>
      <c r="I215" s="92" t="s">
        <v>1492</v>
      </c>
      <c r="J215" s="12" t="s">
        <v>21</v>
      </c>
      <c r="K215" s="12" t="s">
        <v>175</v>
      </c>
      <c r="L215" s="33"/>
      <c r="M215" s="82"/>
      <c r="N215" s="82"/>
      <c r="O215" s="83" t="s">
        <v>417</v>
      </c>
    </row>
    <row r="216" spans="1:15" ht="24" x14ac:dyDescent="0.3">
      <c r="A216" s="33">
        <v>45</v>
      </c>
      <c r="B216" s="40" t="s">
        <v>23</v>
      </c>
      <c r="C216" s="39" t="s">
        <v>1172</v>
      </c>
      <c r="D216" s="28" t="s">
        <v>1501</v>
      </c>
      <c r="E216" s="28" t="s">
        <v>1502</v>
      </c>
      <c r="F216" s="13">
        <v>1.0532407407407407E-3</v>
      </c>
      <c r="G216" s="33">
        <v>2</v>
      </c>
      <c r="H216" s="12" t="s">
        <v>1494</v>
      </c>
      <c r="I216" s="92" t="s">
        <v>1493</v>
      </c>
      <c r="J216" s="12" t="s">
        <v>21</v>
      </c>
      <c r="K216" s="12" t="s">
        <v>33</v>
      </c>
      <c r="L216" s="33"/>
      <c r="M216" s="82"/>
      <c r="N216" s="82"/>
      <c r="O216" s="83" t="s">
        <v>1652</v>
      </c>
    </row>
    <row r="217" spans="1:15" ht="36" x14ac:dyDescent="0.3">
      <c r="A217" s="33">
        <v>46</v>
      </c>
      <c r="B217" s="40" t="s">
        <v>23</v>
      </c>
      <c r="C217" s="39" t="s">
        <v>1172</v>
      </c>
      <c r="D217" s="28" t="s">
        <v>1503</v>
      </c>
      <c r="E217" s="28" t="s">
        <v>1504</v>
      </c>
      <c r="F217" s="13">
        <v>1.2256944444444444E-2</v>
      </c>
      <c r="G217" s="33">
        <v>18</v>
      </c>
      <c r="H217" s="12" t="s">
        <v>1511</v>
      </c>
      <c r="I217" s="84" t="s">
        <v>1532</v>
      </c>
      <c r="J217" s="12" t="s">
        <v>21</v>
      </c>
      <c r="K217" s="12" t="s">
        <v>33</v>
      </c>
      <c r="L217" s="33"/>
      <c r="M217" s="82"/>
      <c r="N217" s="82"/>
      <c r="O217" s="83" t="s">
        <v>1651</v>
      </c>
    </row>
    <row r="218" spans="1:15" ht="36" x14ac:dyDescent="0.3">
      <c r="A218" s="33">
        <v>47</v>
      </c>
      <c r="B218" s="40" t="s">
        <v>23</v>
      </c>
      <c r="C218" s="39" t="s">
        <v>1172</v>
      </c>
      <c r="D218" s="28" t="s">
        <v>1505</v>
      </c>
      <c r="E218" s="28" t="s">
        <v>1506</v>
      </c>
      <c r="F218" s="13">
        <v>1.7361111111111112E-4</v>
      </c>
      <c r="G218" s="33">
        <v>0</v>
      </c>
      <c r="H218" s="12" t="s">
        <v>1512</v>
      </c>
      <c r="I218" s="84" t="s">
        <v>1532</v>
      </c>
      <c r="J218" s="12" t="s">
        <v>21</v>
      </c>
      <c r="K218" s="12" t="s">
        <v>33</v>
      </c>
      <c r="L218" s="33"/>
      <c r="M218" s="82"/>
      <c r="N218" s="82"/>
      <c r="O218" s="83" t="s">
        <v>1650</v>
      </c>
    </row>
    <row r="219" spans="1:15" ht="48" x14ac:dyDescent="0.3">
      <c r="A219" s="33">
        <v>48</v>
      </c>
      <c r="B219" s="40" t="s">
        <v>23</v>
      </c>
      <c r="C219" s="39" t="s">
        <v>1172</v>
      </c>
      <c r="D219" s="28" t="s">
        <v>1600</v>
      </c>
      <c r="E219" s="28" t="s">
        <v>1601</v>
      </c>
      <c r="F219" s="13">
        <v>2.7777777777777779E-3</v>
      </c>
      <c r="G219" s="33">
        <v>4</v>
      </c>
      <c r="H219" s="12" t="s">
        <v>1513</v>
      </c>
      <c r="I219" s="29" t="s">
        <v>1614</v>
      </c>
      <c r="J219" s="12" t="s">
        <v>21</v>
      </c>
      <c r="K219" s="12" t="s">
        <v>33</v>
      </c>
      <c r="L219" s="33"/>
      <c r="M219" s="82"/>
      <c r="N219" s="82"/>
      <c r="O219" s="84" t="s">
        <v>1534</v>
      </c>
    </row>
    <row r="220" spans="1:15" ht="36" x14ac:dyDescent="0.3">
      <c r="A220" s="33">
        <v>49</v>
      </c>
      <c r="B220" s="40" t="s">
        <v>23</v>
      </c>
      <c r="C220" s="39" t="s">
        <v>1172</v>
      </c>
      <c r="D220" s="28" t="s">
        <v>1507</v>
      </c>
      <c r="E220" s="28" t="s">
        <v>1508</v>
      </c>
      <c r="F220" s="13">
        <v>1.5046296296296297E-4</v>
      </c>
      <c r="G220" s="33">
        <v>0</v>
      </c>
      <c r="H220" s="12" t="s">
        <v>1514</v>
      </c>
      <c r="I220" s="84" t="s">
        <v>1532</v>
      </c>
      <c r="J220" s="12" t="s">
        <v>21</v>
      </c>
      <c r="K220" s="12" t="s">
        <v>33</v>
      </c>
      <c r="L220" s="33"/>
      <c r="M220" s="82"/>
      <c r="N220" s="82"/>
      <c r="O220" s="83" t="s">
        <v>1566</v>
      </c>
    </row>
    <row r="221" spans="1:15" ht="36" x14ac:dyDescent="0.3">
      <c r="A221" s="33">
        <v>50</v>
      </c>
      <c r="B221" s="40" t="s">
        <v>23</v>
      </c>
      <c r="C221" s="39" t="s">
        <v>1172</v>
      </c>
      <c r="D221" s="28" t="s">
        <v>1515</v>
      </c>
      <c r="E221" s="28" t="s">
        <v>1516</v>
      </c>
      <c r="F221" s="13">
        <v>1.9212962962962962E-3</v>
      </c>
      <c r="G221" s="33">
        <v>3</v>
      </c>
      <c r="H221" s="12" t="s">
        <v>1512</v>
      </c>
      <c r="I221" s="84" t="s">
        <v>1533</v>
      </c>
      <c r="J221" s="12" t="s">
        <v>21</v>
      </c>
      <c r="K221" s="12" t="s">
        <v>33</v>
      </c>
      <c r="L221" s="33"/>
      <c r="M221" s="82"/>
      <c r="N221" s="82"/>
      <c r="O221" s="83" t="s">
        <v>1650</v>
      </c>
    </row>
    <row r="222" spans="1:15" ht="36" x14ac:dyDescent="0.3">
      <c r="A222" s="33">
        <v>51</v>
      </c>
      <c r="B222" s="40" t="s">
        <v>23</v>
      </c>
      <c r="C222" s="39" t="s">
        <v>1172</v>
      </c>
      <c r="D222" s="28" t="s">
        <v>1509</v>
      </c>
      <c r="E222" s="28" t="s">
        <v>1510</v>
      </c>
      <c r="F222" s="13">
        <v>1.261574074074074E-3</v>
      </c>
      <c r="G222" s="33">
        <v>2</v>
      </c>
      <c r="H222" s="12" t="s">
        <v>1514</v>
      </c>
      <c r="I222" s="84" t="s">
        <v>1533</v>
      </c>
      <c r="J222" s="12" t="s">
        <v>21</v>
      </c>
      <c r="K222" s="12" t="s">
        <v>33</v>
      </c>
      <c r="L222" s="33"/>
      <c r="M222" s="82"/>
      <c r="N222" s="82"/>
      <c r="O222" s="83" t="s">
        <v>1566</v>
      </c>
    </row>
    <row r="223" spans="1:15" ht="36" x14ac:dyDescent="0.3">
      <c r="A223" s="33">
        <v>52</v>
      </c>
      <c r="B223" s="40" t="s">
        <v>23</v>
      </c>
      <c r="C223" s="39" t="s">
        <v>1172</v>
      </c>
      <c r="D223" s="28" t="s">
        <v>1535</v>
      </c>
      <c r="E223" s="28" t="s">
        <v>1536</v>
      </c>
      <c r="F223" s="13">
        <v>3.3564814814814812E-4</v>
      </c>
      <c r="G223" s="33">
        <v>0</v>
      </c>
      <c r="H223" s="12" t="s">
        <v>1537</v>
      </c>
      <c r="I223" s="29" t="s">
        <v>1602</v>
      </c>
      <c r="J223" s="12" t="s">
        <v>21</v>
      </c>
      <c r="K223" s="12" t="s">
        <v>33</v>
      </c>
      <c r="L223" s="33"/>
      <c r="M223" s="82"/>
      <c r="N223" s="82"/>
      <c r="O223" s="83" t="s">
        <v>149</v>
      </c>
    </row>
    <row r="224" spans="1:15" ht="36" x14ac:dyDescent="0.3">
      <c r="A224" s="33">
        <v>53</v>
      </c>
      <c r="B224" s="16" t="s">
        <v>15</v>
      </c>
      <c r="C224" s="39" t="s">
        <v>1172</v>
      </c>
      <c r="D224" s="28" t="s">
        <v>1551</v>
      </c>
      <c r="E224" s="28" t="s">
        <v>1554</v>
      </c>
      <c r="F224" s="13">
        <v>0.12569444444444444</v>
      </c>
      <c r="G224" s="33">
        <v>181</v>
      </c>
      <c r="H224" s="12" t="s">
        <v>1552</v>
      </c>
      <c r="I224" s="29" t="s">
        <v>1553</v>
      </c>
      <c r="J224" s="12" t="s">
        <v>28</v>
      </c>
      <c r="K224" s="12" t="s">
        <v>22</v>
      </c>
      <c r="L224" s="33"/>
      <c r="M224" s="82"/>
      <c r="N224" s="82"/>
      <c r="O224" s="84" t="s">
        <v>1564</v>
      </c>
    </row>
    <row r="225" spans="1:15" ht="24" x14ac:dyDescent="0.3">
      <c r="A225" s="33">
        <v>54</v>
      </c>
      <c r="B225" s="40" t="s">
        <v>36</v>
      </c>
      <c r="C225" s="39" t="s">
        <v>1172</v>
      </c>
      <c r="D225" s="28" t="s">
        <v>1603</v>
      </c>
      <c r="E225" s="28" t="s">
        <v>1657</v>
      </c>
      <c r="F225" s="13">
        <v>6.4259259255777579E-2</v>
      </c>
      <c r="G225" s="33">
        <v>93</v>
      </c>
      <c r="H225" s="12" t="s">
        <v>1482</v>
      </c>
      <c r="I225" s="29" t="s">
        <v>1590</v>
      </c>
      <c r="J225" s="12" t="s">
        <v>174</v>
      </c>
      <c r="K225" s="12" t="s">
        <v>33</v>
      </c>
      <c r="L225" s="33"/>
      <c r="M225" s="82"/>
      <c r="N225" s="82"/>
      <c r="O225" s="83" t="s">
        <v>1472</v>
      </c>
    </row>
    <row r="226" spans="1:15" ht="36" x14ac:dyDescent="0.3">
      <c r="A226" s="33">
        <v>55</v>
      </c>
      <c r="B226" s="40" t="s">
        <v>23</v>
      </c>
      <c r="C226" s="39" t="s">
        <v>1172</v>
      </c>
      <c r="D226" s="28" t="s">
        <v>1655</v>
      </c>
      <c r="E226" s="28" t="s">
        <v>1658</v>
      </c>
      <c r="F226" s="13">
        <v>2.4305556144099683E-4</v>
      </c>
      <c r="G226" s="33">
        <v>0</v>
      </c>
      <c r="H226" s="12" t="s">
        <v>1653</v>
      </c>
      <c r="I226" s="29" t="s">
        <v>1654</v>
      </c>
      <c r="J226" s="12" t="s">
        <v>21</v>
      </c>
      <c r="K226" s="12" t="s">
        <v>33</v>
      </c>
      <c r="L226" s="33"/>
      <c r="M226" s="82"/>
      <c r="N226" s="82"/>
      <c r="O226" s="83" t="s">
        <v>1660</v>
      </c>
    </row>
    <row r="227" spans="1:15" ht="36" x14ac:dyDescent="0.3">
      <c r="A227" s="33">
        <v>56</v>
      </c>
      <c r="B227" s="40" t="s">
        <v>23</v>
      </c>
      <c r="C227" s="39" t="s">
        <v>1172</v>
      </c>
      <c r="D227" s="28" t="s">
        <v>1656</v>
      </c>
      <c r="E227" s="28" t="s">
        <v>1659</v>
      </c>
      <c r="F227" s="13">
        <v>8.6805555474711582E-4</v>
      </c>
      <c r="G227" s="33">
        <v>1</v>
      </c>
      <c r="H227" s="12" t="s">
        <v>1653</v>
      </c>
      <c r="I227" s="29" t="s">
        <v>1654</v>
      </c>
      <c r="J227" s="12" t="s">
        <v>21</v>
      </c>
      <c r="K227" s="12" t="s">
        <v>33</v>
      </c>
      <c r="L227" s="33"/>
      <c r="M227" s="82"/>
      <c r="N227" s="82"/>
      <c r="O227" s="83" t="s">
        <v>1660</v>
      </c>
    </row>
    <row r="228" spans="1:15" ht="24" x14ac:dyDescent="0.3">
      <c r="A228" s="33">
        <v>57</v>
      </c>
      <c r="B228" s="40" t="s">
        <v>36</v>
      </c>
      <c r="C228" s="39" t="s">
        <v>1172</v>
      </c>
      <c r="D228" s="28" t="s">
        <v>1619</v>
      </c>
      <c r="E228" s="28" t="s">
        <v>1620</v>
      </c>
      <c r="F228" s="13">
        <v>0.12209490740497131</v>
      </c>
      <c r="G228" s="33">
        <v>176</v>
      </c>
      <c r="H228" s="12" t="s">
        <v>1482</v>
      </c>
      <c r="I228" s="29" t="s">
        <v>1590</v>
      </c>
      <c r="J228" s="12" t="s">
        <v>174</v>
      </c>
      <c r="K228" s="12" t="s">
        <v>33</v>
      </c>
      <c r="L228" s="33"/>
      <c r="M228" s="82"/>
      <c r="N228" s="82"/>
      <c r="O228" s="83" t="s">
        <v>1472</v>
      </c>
    </row>
    <row r="229" spans="1:15" ht="24" x14ac:dyDescent="0.3">
      <c r="A229" s="33">
        <v>58</v>
      </c>
      <c r="B229" s="40" t="s">
        <v>36</v>
      </c>
      <c r="C229" s="39" t="s">
        <v>1172</v>
      </c>
      <c r="D229" s="28" t="s">
        <v>1621</v>
      </c>
      <c r="E229" s="28" t="s">
        <v>1622</v>
      </c>
      <c r="F229" s="13">
        <v>0.10891203703795327</v>
      </c>
      <c r="G229" s="33">
        <v>157</v>
      </c>
      <c r="H229" s="12" t="s">
        <v>1538</v>
      </c>
      <c r="I229" s="29" t="s">
        <v>1539</v>
      </c>
      <c r="J229" s="12" t="s">
        <v>28</v>
      </c>
      <c r="K229" s="12" t="s">
        <v>33</v>
      </c>
      <c r="L229" s="33"/>
      <c r="M229" s="82"/>
      <c r="N229" s="82"/>
      <c r="O229" s="83" t="s">
        <v>1565</v>
      </c>
    </row>
    <row r="230" spans="1:15" ht="24" x14ac:dyDescent="0.3">
      <c r="A230" s="33">
        <v>59</v>
      </c>
      <c r="B230" s="40" t="s">
        <v>36</v>
      </c>
      <c r="C230" s="39" t="s">
        <v>1172</v>
      </c>
      <c r="D230" s="28" t="s">
        <v>1649</v>
      </c>
      <c r="E230" s="28" t="s">
        <v>1623</v>
      </c>
      <c r="F230" s="13">
        <v>6.7233796296932269E-2</v>
      </c>
      <c r="G230" s="33">
        <v>97</v>
      </c>
      <c r="H230" s="12" t="s">
        <v>1482</v>
      </c>
      <c r="I230" s="29" t="s">
        <v>1590</v>
      </c>
      <c r="J230" s="12" t="s">
        <v>174</v>
      </c>
      <c r="K230" s="12" t="s">
        <v>33</v>
      </c>
      <c r="L230" s="33"/>
      <c r="M230" s="82"/>
      <c r="N230" s="82"/>
      <c r="O230" s="83"/>
    </row>
    <row r="231" spans="1:15" ht="36" x14ac:dyDescent="0.3">
      <c r="A231" s="33">
        <v>60</v>
      </c>
      <c r="B231" s="40" t="s">
        <v>23</v>
      </c>
      <c r="C231" s="39" t="s">
        <v>1172</v>
      </c>
      <c r="D231" s="28" t="s">
        <v>1648</v>
      </c>
      <c r="E231" s="28" t="s">
        <v>1624</v>
      </c>
      <c r="F231" s="13">
        <v>6.4814814686542377E-4</v>
      </c>
      <c r="G231" s="33">
        <v>1</v>
      </c>
      <c r="H231" s="12" t="s">
        <v>1555</v>
      </c>
      <c r="I231" s="29" t="s">
        <v>1563</v>
      </c>
      <c r="J231" s="12" t="s">
        <v>21</v>
      </c>
      <c r="K231" s="12" t="s">
        <v>33</v>
      </c>
      <c r="L231" s="33"/>
      <c r="M231" s="82"/>
      <c r="N231" s="82"/>
      <c r="O231" s="83" t="s">
        <v>1567</v>
      </c>
    </row>
    <row r="232" spans="1:15" ht="36" x14ac:dyDescent="0.3">
      <c r="A232" s="33">
        <v>61</v>
      </c>
      <c r="B232" s="40" t="s">
        <v>23</v>
      </c>
      <c r="C232" s="39" t="s">
        <v>1172</v>
      </c>
      <c r="D232" s="28" t="s">
        <v>1647</v>
      </c>
      <c r="E232" s="28" t="s">
        <v>1625</v>
      </c>
      <c r="F232" s="13">
        <v>7.6388888919609599E-3</v>
      </c>
      <c r="G232" s="33">
        <f t="shared" ref="G232" si="0">F232*1440</f>
        <v>11.000000004423782</v>
      </c>
      <c r="H232" s="12" t="s">
        <v>1561</v>
      </c>
      <c r="I232" s="29" t="s">
        <v>1562</v>
      </c>
      <c r="J232" s="12" t="s">
        <v>21</v>
      </c>
      <c r="K232" s="12" t="s">
        <v>33</v>
      </c>
      <c r="L232" s="33" t="s">
        <v>1604</v>
      </c>
      <c r="M232" s="82"/>
      <c r="N232" s="82"/>
      <c r="O232" s="84" t="s">
        <v>1568</v>
      </c>
    </row>
    <row r="233" spans="1:15" ht="24" x14ac:dyDescent="0.3">
      <c r="A233" s="33">
        <v>62</v>
      </c>
      <c r="B233" s="16" t="s">
        <v>15</v>
      </c>
      <c r="C233" s="39" t="s">
        <v>1172</v>
      </c>
      <c r="D233" s="28" t="s">
        <v>1646</v>
      </c>
      <c r="E233" s="28" t="s">
        <v>1626</v>
      </c>
      <c r="F233" s="13">
        <v>0.33093750000261934</v>
      </c>
      <c r="G233" s="33">
        <v>477</v>
      </c>
      <c r="H233" s="12" t="s">
        <v>1556</v>
      </c>
      <c r="I233" s="29" t="s">
        <v>1560</v>
      </c>
      <c r="J233" s="12" t="s">
        <v>21</v>
      </c>
      <c r="K233" s="12" t="s">
        <v>22</v>
      </c>
      <c r="L233" s="33"/>
      <c r="M233" s="82"/>
      <c r="N233" s="82"/>
      <c r="O233" s="83"/>
    </row>
    <row r="234" spans="1:15" ht="24" x14ac:dyDescent="0.3">
      <c r="A234" s="33">
        <v>63</v>
      </c>
      <c r="B234" s="16" t="s">
        <v>15</v>
      </c>
      <c r="C234" s="39" t="s">
        <v>1172</v>
      </c>
      <c r="D234" s="28" t="s">
        <v>1646</v>
      </c>
      <c r="E234" s="28" t="s">
        <v>1627</v>
      </c>
      <c r="F234" s="13">
        <v>0.26787037037138361</v>
      </c>
      <c r="G234" s="33">
        <v>386</v>
      </c>
      <c r="H234" s="12" t="s">
        <v>1557</v>
      </c>
      <c r="I234" s="29" t="s">
        <v>1560</v>
      </c>
      <c r="J234" s="12" t="s">
        <v>21</v>
      </c>
      <c r="K234" s="12" t="s">
        <v>22</v>
      </c>
      <c r="L234" s="33"/>
      <c r="M234" s="82"/>
      <c r="N234" s="82"/>
      <c r="O234" s="83"/>
    </row>
    <row r="235" spans="1:15" ht="24" x14ac:dyDescent="0.3">
      <c r="A235" s="33">
        <v>64</v>
      </c>
      <c r="B235" s="16" t="s">
        <v>15</v>
      </c>
      <c r="C235" s="39" t="s">
        <v>1172</v>
      </c>
      <c r="D235" s="28" t="s">
        <v>1646</v>
      </c>
      <c r="E235" s="28" t="s">
        <v>1628</v>
      </c>
      <c r="F235" s="13">
        <v>0.26998842592729488</v>
      </c>
      <c r="G235" s="33">
        <v>389</v>
      </c>
      <c r="H235" s="12" t="s">
        <v>1558</v>
      </c>
      <c r="I235" s="29" t="s">
        <v>1560</v>
      </c>
      <c r="J235" s="12" t="s">
        <v>21</v>
      </c>
      <c r="K235" s="12" t="s">
        <v>22</v>
      </c>
      <c r="L235" s="33"/>
      <c r="M235" s="82"/>
      <c r="N235" s="82"/>
      <c r="O235" s="83"/>
    </row>
    <row r="236" spans="1:15" ht="24" x14ac:dyDescent="0.3">
      <c r="A236" s="33">
        <v>65</v>
      </c>
      <c r="B236" s="16" t="s">
        <v>15</v>
      </c>
      <c r="C236" s="39" t="s">
        <v>1172</v>
      </c>
      <c r="D236" s="28" t="s">
        <v>1646</v>
      </c>
      <c r="E236" s="28" t="s">
        <v>1629</v>
      </c>
      <c r="F236" s="13">
        <v>0.30892361111182254</v>
      </c>
      <c r="G236" s="33">
        <v>445</v>
      </c>
      <c r="H236" s="12" t="s">
        <v>1559</v>
      </c>
      <c r="I236" s="29" t="s">
        <v>1560</v>
      </c>
      <c r="J236" s="12" t="s">
        <v>21</v>
      </c>
      <c r="K236" s="12" t="s">
        <v>22</v>
      </c>
      <c r="L236" s="33"/>
      <c r="M236" s="82"/>
      <c r="N236" s="82"/>
      <c r="O236" s="83"/>
    </row>
    <row r="237" spans="1:15" ht="24" x14ac:dyDescent="0.3">
      <c r="A237" s="33">
        <v>66</v>
      </c>
      <c r="B237" s="16" t="s">
        <v>15</v>
      </c>
      <c r="C237" s="39" t="s">
        <v>1172</v>
      </c>
      <c r="D237" s="28" t="s">
        <v>1645</v>
      </c>
      <c r="E237" s="28" t="s">
        <v>1630</v>
      </c>
      <c r="F237" s="13">
        <v>1.5972222223354038E-2</v>
      </c>
      <c r="G237" s="33">
        <v>23</v>
      </c>
      <c r="H237" s="12" t="s">
        <v>84</v>
      </c>
      <c r="I237" s="29" t="s">
        <v>1569</v>
      </c>
      <c r="J237" s="12" t="s">
        <v>21</v>
      </c>
      <c r="K237" s="12" t="s">
        <v>22</v>
      </c>
      <c r="L237" s="33"/>
      <c r="M237" s="82"/>
      <c r="N237" s="82"/>
      <c r="O237" s="83"/>
    </row>
    <row r="238" spans="1:15" ht="24" x14ac:dyDescent="0.3">
      <c r="A238" s="33">
        <v>67</v>
      </c>
      <c r="B238" s="16" t="s">
        <v>15</v>
      </c>
      <c r="C238" s="39" t="s">
        <v>1172</v>
      </c>
      <c r="D238" s="28" t="s">
        <v>1644</v>
      </c>
      <c r="E238" s="28" t="s">
        <v>1631</v>
      </c>
      <c r="F238" s="13">
        <v>1.2928240736073349E-2</v>
      </c>
      <c r="G238" s="33">
        <v>19</v>
      </c>
      <c r="H238" s="12" t="s">
        <v>1584</v>
      </c>
      <c r="I238" s="29" t="s">
        <v>1585</v>
      </c>
      <c r="J238" s="12" t="s">
        <v>21</v>
      </c>
      <c r="K238" s="12" t="s">
        <v>33</v>
      </c>
      <c r="L238" s="33"/>
      <c r="M238" s="82"/>
      <c r="N238" s="82"/>
      <c r="O238" s="83" t="s">
        <v>1661</v>
      </c>
    </row>
    <row r="239" spans="1:15" ht="24" x14ac:dyDescent="0.3">
      <c r="A239" s="33">
        <v>68</v>
      </c>
      <c r="B239" s="12" t="s">
        <v>23</v>
      </c>
      <c r="C239" s="39" t="s">
        <v>1172</v>
      </c>
      <c r="D239" s="28" t="s">
        <v>1643</v>
      </c>
      <c r="E239" s="28" t="s">
        <v>1632</v>
      </c>
      <c r="F239" s="13">
        <v>2.0833333110203966E-4</v>
      </c>
      <c r="G239" s="33">
        <v>0</v>
      </c>
      <c r="H239" s="12" t="s">
        <v>1586</v>
      </c>
      <c r="I239" s="29" t="s">
        <v>1588</v>
      </c>
      <c r="J239" s="12" t="s">
        <v>21</v>
      </c>
      <c r="K239" s="12" t="s">
        <v>33</v>
      </c>
      <c r="L239" s="33"/>
      <c r="M239" s="82"/>
      <c r="N239" s="82"/>
      <c r="O239" s="83" t="s">
        <v>96</v>
      </c>
    </row>
    <row r="240" spans="1:15" ht="36" x14ac:dyDescent="0.3">
      <c r="A240" s="33">
        <v>69</v>
      </c>
      <c r="B240" s="12" t="s">
        <v>23</v>
      </c>
      <c r="C240" s="39" t="s">
        <v>1172</v>
      </c>
      <c r="D240" s="28" t="s">
        <v>1642</v>
      </c>
      <c r="E240" s="28" t="s">
        <v>1633</v>
      </c>
      <c r="F240" s="13" t="s">
        <v>1592</v>
      </c>
      <c r="G240" s="33">
        <v>5</v>
      </c>
      <c r="H240" s="12" t="s">
        <v>1591</v>
      </c>
      <c r="I240" s="29" t="s">
        <v>1606</v>
      </c>
      <c r="J240" s="12" t="s">
        <v>52</v>
      </c>
      <c r="K240" s="12" t="s">
        <v>33</v>
      </c>
      <c r="L240" s="33"/>
      <c r="M240" s="82"/>
      <c r="N240" s="82"/>
      <c r="O240" s="83" t="s">
        <v>1593</v>
      </c>
    </row>
    <row r="241" spans="1:15" ht="24" x14ac:dyDescent="0.3">
      <c r="A241" s="33">
        <v>70</v>
      </c>
      <c r="B241" s="12" t="s">
        <v>15</v>
      </c>
      <c r="C241" s="39" t="s">
        <v>1172</v>
      </c>
      <c r="D241" s="28" t="s">
        <v>1641</v>
      </c>
      <c r="E241" s="28" t="s">
        <v>1634</v>
      </c>
      <c r="F241" s="13">
        <v>0.10277777777777779</v>
      </c>
      <c r="G241" s="33">
        <v>148</v>
      </c>
      <c r="H241" s="12" t="s">
        <v>1587</v>
      </c>
      <c r="I241" s="29" t="s">
        <v>1605</v>
      </c>
      <c r="J241" s="12" t="s">
        <v>21</v>
      </c>
      <c r="K241" s="12" t="s">
        <v>22</v>
      </c>
      <c r="L241" s="33"/>
      <c r="M241" s="82"/>
      <c r="N241" s="82"/>
      <c r="O241" s="83"/>
    </row>
    <row r="242" spans="1:15" ht="122.4" customHeight="1" x14ac:dyDescent="0.3">
      <c r="A242" s="33">
        <v>71</v>
      </c>
      <c r="B242" s="12" t="s">
        <v>23</v>
      </c>
      <c r="C242" s="39" t="s">
        <v>1172</v>
      </c>
      <c r="D242" s="28" t="s">
        <v>1640</v>
      </c>
      <c r="E242" s="28" t="s">
        <v>1635</v>
      </c>
      <c r="F242" s="13">
        <v>7.6388888919609599E-3</v>
      </c>
      <c r="G242" s="33">
        <v>11</v>
      </c>
      <c r="H242" s="12" t="s">
        <v>1662</v>
      </c>
      <c r="I242" s="29" t="s">
        <v>1594</v>
      </c>
      <c r="J242" s="12" t="s">
        <v>21</v>
      </c>
      <c r="K242" s="12" t="s">
        <v>33</v>
      </c>
      <c r="L242" s="33"/>
      <c r="M242" s="82"/>
      <c r="N242" s="82"/>
      <c r="O242" s="29" t="s">
        <v>1663</v>
      </c>
    </row>
    <row r="243" spans="1:15" ht="48" x14ac:dyDescent="0.3">
      <c r="A243" s="33">
        <v>72</v>
      </c>
      <c r="B243" s="12" t="s">
        <v>23</v>
      </c>
      <c r="C243" s="39" t="s">
        <v>1172</v>
      </c>
      <c r="D243" s="28" t="s">
        <v>1639</v>
      </c>
      <c r="E243" s="28" t="s">
        <v>1636</v>
      </c>
      <c r="F243" s="13">
        <v>5.5555555518367328E-3</v>
      </c>
      <c r="G243" s="33">
        <v>8</v>
      </c>
      <c r="H243" s="12" t="s">
        <v>1596</v>
      </c>
      <c r="I243" s="29" t="s">
        <v>1595</v>
      </c>
      <c r="J243" s="12" t="s">
        <v>21</v>
      </c>
      <c r="K243" s="12" t="s">
        <v>33</v>
      </c>
      <c r="L243" s="33"/>
      <c r="M243" s="82"/>
      <c r="N243" s="82"/>
      <c r="O243" s="84" t="s">
        <v>1664</v>
      </c>
    </row>
    <row r="244" spans="1:15" ht="60" x14ac:dyDescent="0.3">
      <c r="A244" s="33">
        <v>73</v>
      </c>
      <c r="B244" s="12" t="s">
        <v>23</v>
      </c>
      <c r="C244" s="39" t="s">
        <v>1172</v>
      </c>
      <c r="D244" s="28" t="s">
        <v>1638</v>
      </c>
      <c r="E244" s="28" t="s">
        <v>1637</v>
      </c>
      <c r="F244" s="13">
        <v>7.6388888846850023E-3</v>
      </c>
      <c r="G244" s="33">
        <v>11</v>
      </c>
      <c r="H244" s="12" t="s">
        <v>1665</v>
      </c>
      <c r="I244" s="29" t="s">
        <v>1597</v>
      </c>
      <c r="J244" s="12" t="s">
        <v>21</v>
      </c>
      <c r="K244" s="12" t="s">
        <v>33</v>
      </c>
      <c r="L244" s="33"/>
      <c r="M244" s="82"/>
      <c r="N244" s="82"/>
      <c r="O244" s="84" t="s">
        <v>1666</v>
      </c>
    </row>
  </sheetData>
  <phoneticPr fontId="39" type="noConversion"/>
  <conditionalFormatting sqref="B1:B244">
    <cfRule type="cellIs" dxfId="23" priority="1" operator="equal">
      <formula>"S3"</formula>
    </cfRule>
    <cfRule type="cellIs" dxfId="22" priority="2" operator="equal">
      <formula>"S2"</formula>
    </cfRule>
    <cfRule type="cellIs" dxfId="21" priority="3" operator="equal">
      <formula>"S1"</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B6ED5EA9-FE6C-4D28-ADFB-3422F55CD8B0}">
          <x14:formula1>
            <xm:f>'Priority Definition'!$D$2:$D$14</xm:f>
          </x14:formula1>
          <xm:sqref>J2:J42 J44:J1048576</xm:sqref>
        </x14:dataValidation>
        <x14:dataValidation type="list" allowBlank="1" showInputMessage="1" showErrorMessage="1" xr:uid="{78E5F45D-811D-444A-ABFD-D9FA1916D892}">
          <x14:formula1>
            <xm:f>'Priority Definition'!$E$2:$E$8</xm:f>
          </x14:formula1>
          <xm:sqref>K2:K1048576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78E1B-33C3-473E-BB47-CAE4305A3B5D}">
  <sheetPr codeName="Sheet3"/>
  <dimension ref="A1:P174"/>
  <sheetViews>
    <sheetView topLeftCell="H1" zoomScale="120" zoomScaleNormal="120" workbookViewId="0">
      <pane ySplit="1" topLeftCell="A107" activePane="bottomLeft" state="frozen"/>
      <selection pane="bottomLeft" activeCell="I1" sqref="I1"/>
    </sheetView>
  </sheetViews>
  <sheetFormatPr defaultColWidth="8.90625" defaultRowHeight="13" x14ac:dyDescent="0.3"/>
  <cols>
    <col min="1" max="1" width="5.08984375" style="17" customWidth="1"/>
    <col min="2" max="2" width="8.08984375" style="17" customWidth="1"/>
    <col min="3" max="3" width="8.90625" style="17"/>
    <col min="4" max="4" width="16.90625" style="17" customWidth="1"/>
    <col min="5" max="5" width="18.08984375" style="17" bestFit="1" customWidth="1"/>
    <col min="6" max="6" width="10.90625" style="17" customWidth="1"/>
    <col min="7" max="7" width="14.90625" style="17" bestFit="1" customWidth="1"/>
    <col min="8" max="8" width="47.90625" style="17" customWidth="1"/>
    <col min="9" max="9" width="72.08984375" style="21" customWidth="1"/>
    <col min="10" max="10" width="15.36328125" style="17" bestFit="1" customWidth="1"/>
    <col min="11" max="11" width="11.08984375" style="17" customWidth="1"/>
    <col min="12" max="12" width="31" style="17" customWidth="1"/>
    <col min="13" max="13" width="17.08984375" style="17" customWidth="1"/>
    <col min="14" max="14" width="15.08984375" style="17" customWidth="1"/>
    <col min="15" max="15" width="67.08984375" style="21" customWidth="1"/>
    <col min="16" max="16384" width="8.90625" style="17"/>
  </cols>
  <sheetData>
    <row r="1" spans="1:15" ht="26" x14ac:dyDescent="0.3">
      <c r="A1" s="3" t="s">
        <v>0</v>
      </c>
      <c r="B1" s="4" t="s">
        <v>1</v>
      </c>
      <c r="C1" s="4" t="s">
        <v>2</v>
      </c>
      <c r="D1" s="5" t="s">
        <v>3</v>
      </c>
      <c r="E1" s="3" t="s">
        <v>4</v>
      </c>
      <c r="F1" s="4" t="s">
        <v>5</v>
      </c>
      <c r="G1" s="4" t="s">
        <v>6</v>
      </c>
      <c r="H1" s="5" t="s">
        <v>7</v>
      </c>
      <c r="I1" s="57" t="s">
        <v>8</v>
      </c>
      <c r="J1" s="4" t="s">
        <v>9</v>
      </c>
      <c r="K1" s="4" t="s">
        <v>10</v>
      </c>
      <c r="L1" s="5" t="s">
        <v>11</v>
      </c>
      <c r="M1" s="3" t="s">
        <v>12</v>
      </c>
      <c r="N1" s="4" t="s">
        <v>13</v>
      </c>
      <c r="O1" s="4" t="s">
        <v>14</v>
      </c>
    </row>
    <row r="2" spans="1:15" ht="26" x14ac:dyDescent="0.3">
      <c r="A2" s="7">
        <v>1</v>
      </c>
      <c r="B2" s="7" t="s">
        <v>15</v>
      </c>
      <c r="C2" s="7" t="s">
        <v>16</v>
      </c>
      <c r="D2" s="7" t="s">
        <v>614</v>
      </c>
      <c r="E2" s="7" t="s">
        <v>615</v>
      </c>
      <c r="F2" s="6">
        <v>4.2939814811688848E-3</v>
      </c>
      <c r="G2" s="7">
        <v>6</v>
      </c>
      <c r="H2" s="7" t="s">
        <v>616</v>
      </c>
      <c r="I2" s="58" t="s">
        <v>617</v>
      </c>
      <c r="J2" s="7" t="s">
        <v>21</v>
      </c>
      <c r="K2" s="7" t="s">
        <v>618</v>
      </c>
      <c r="L2" s="7"/>
      <c r="M2" s="7"/>
      <c r="N2" s="7"/>
      <c r="O2" s="7" t="s">
        <v>619</v>
      </c>
    </row>
    <row r="3" spans="1:15" ht="39" x14ac:dyDescent="0.3">
      <c r="A3" s="7">
        <v>2</v>
      </c>
      <c r="B3" s="7" t="s">
        <v>15</v>
      </c>
      <c r="C3" s="7" t="s">
        <v>16</v>
      </c>
      <c r="D3" s="7" t="s">
        <v>620</v>
      </c>
      <c r="E3" s="7" t="s">
        <v>621</v>
      </c>
      <c r="F3" s="6">
        <v>6.6666666680248454E-3</v>
      </c>
      <c r="G3" s="7">
        <v>10</v>
      </c>
      <c r="H3" s="7" t="s">
        <v>622</v>
      </c>
      <c r="I3" s="58" t="s">
        <v>623</v>
      </c>
      <c r="J3" s="7" t="s">
        <v>21</v>
      </c>
      <c r="K3" s="7" t="s">
        <v>624</v>
      </c>
      <c r="L3" s="7"/>
      <c r="M3" s="7"/>
      <c r="N3" s="7"/>
      <c r="O3" s="7" t="s">
        <v>625</v>
      </c>
    </row>
    <row r="4" spans="1:15" ht="52" x14ac:dyDescent="0.3">
      <c r="A4" s="7">
        <v>3</v>
      </c>
      <c r="B4" s="7" t="s">
        <v>23</v>
      </c>
      <c r="C4" s="7" t="s">
        <v>16</v>
      </c>
      <c r="D4" s="7" t="s">
        <v>626</v>
      </c>
      <c r="E4" s="7" t="s">
        <v>627</v>
      </c>
      <c r="F4" s="6">
        <v>9.2592592409346253E-5</v>
      </c>
      <c r="G4" s="7">
        <v>0</v>
      </c>
      <c r="H4" s="7" t="s">
        <v>628</v>
      </c>
      <c r="I4" s="58" t="s">
        <v>629</v>
      </c>
      <c r="J4" s="7" t="s">
        <v>174</v>
      </c>
      <c r="K4" s="7" t="s">
        <v>618</v>
      </c>
      <c r="L4" s="7"/>
      <c r="M4" s="7"/>
      <c r="N4" s="7"/>
      <c r="O4" s="7" t="s">
        <v>630</v>
      </c>
    </row>
    <row r="5" spans="1:15" ht="26" x14ac:dyDescent="0.3">
      <c r="A5" s="7">
        <v>4</v>
      </c>
      <c r="B5" s="7" t="s">
        <v>23</v>
      </c>
      <c r="C5" s="7" t="s">
        <v>16</v>
      </c>
      <c r="D5" s="7" t="s">
        <v>631</v>
      </c>
      <c r="E5" s="7" t="s">
        <v>632</v>
      </c>
      <c r="F5" s="6">
        <v>2.314814628334716E-5</v>
      </c>
      <c r="G5" s="7">
        <v>0</v>
      </c>
      <c r="H5" s="7" t="s">
        <v>633</v>
      </c>
      <c r="I5" s="58" t="s">
        <v>634</v>
      </c>
      <c r="J5" s="7" t="s">
        <v>174</v>
      </c>
      <c r="K5" s="7" t="s">
        <v>618</v>
      </c>
      <c r="L5" s="7"/>
      <c r="M5" s="7"/>
      <c r="N5" s="7"/>
      <c r="O5" s="7">
        <v>22010058815</v>
      </c>
    </row>
    <row r="6" spans="1:15" ht="52" x14ac:dyDescent="0.3">
      <c r="A6" s="7">
        <v>5</v>
      </c>
      <c r="B6" s="7" t="s">
        <v>15</v>
      </c>
      <c r="C6" s="7" t="s">
        <v>16</v>
      </c>
      <c r="D6" s="7" t="s">
        <v>635</v>
      </c>
      <c r="E6" s="7" t="s">
        <v>636</v>
      </c>
      <c r="F6" s="6">
        <v>3.4027777777777776E-3</v>
      </c>
      <c r="G6" s="7">
        <v>5</v>
      </c>
      <c r="H6" s="7" t="s">
        <v>616</v>
      </c>
      <c r="I6" s="58" t="s">
        <v>637</v>
      </c>
      <c r="J6" s="7" t="s">
        <v>21</v>
      </c>
      <c r="K6" s="7" t="s">
        <v>618</v>
      </c>
      <c r="L6" s="7"/>
      <c r="M6" s="7"/>
      <c r="N6" s="7"/>
      <c r="O6" s="7" t="s">
        <v>619</v>
      </c>
    </row>
    <row r="7" spans="1:15" ht="104" x14ac:dyDescent="0.3">
      <c r="A7" s="7">
        <v>6</v>
      </c>
      <c r="B7" s="7" t="s">
        <v>15</v>
      </c>
      <c r="C7" s="7" t="s">
        <v>16</v>
      </c>
      <c r="D7" s="7" t="s">
        <v>638</v>
      </c>
      <c r="E7" s="7" t="s">
        <v>639</v>
      </c>
      <c r="F7" s="6">
        <v>2.5578703703703705E-3</v>
      </c>
      <c r="G7" s="7">
        <v>4</v>
      </c>
      <c r="H7" s="7" t="s">
        <v>640</v>
      </c>
      <c r="I7" s="58" t="s">
        <v>641</v>
      </c>
      <c r="J7" s="7" t="s">
        <v>28</v>
      </c>
      <c r="K7" s="7" t="s">
        <v>618</v>
      </c>
      <c r="L7" s="7"/>
      <c r="M7" s="7"/>
      <c r="N7" s="7"/>
      <c r="O7" s="7" t="s">
        <v>642</v>
      </c>
    </row>
    <row r="8" spans="1:15" ht="39" x14ac:dyDescent="0.3">
      <c r="A8" s="7">
        <v>7</v>
      </c>
      <c r="B8" s="7" t="s">
        <v>15</v>
      </c>
      <c r="C8" s="7" t="s">
        <v>16</v>
      </c>
      <c r="D8" s="7" t="s">
        <v>643</v>
      </c>
      <c r="E8" s="7" t="s">
        <v>644</v>
      </c>
      <c r="F8" s="6">
        <v>4.0046296296296297E-3</v>
      </c>
      <c r="G8" s="7">
        <v>6</v>
      </c>
      <c r="H8" s="7" t="s">
        <v>616</v>
      </c>
      <c r="I8" s="58" t="s">
        <v>645</v>
      </c>
      <c r="J8" s="7" t="s">
        <v>21</v>
      </c>
      <c r="K8" s="7" t="s">
        <v>618</v>
      </c>
      <c r="L8" s="7"/>
      <c r="M8" s="7"/>
      <c r="N8" s="7"/>
      <c r="O8" s="7" t="s">
        <v>619</v>
      </c>
    </row>
    <row r="9" spans="1:15" ht="91" x14ac:dyDescent="0.3">
      <c r="A9" s="7">
        <v>8</v>
      </c>
      <c r="B9" s="7" t="s">
        <v>15</v>
      </c>
      <c r="C9" s="7" t="s">
        <v>16</v>
      </c>
      <c r="D9" s="7" t="s">
        <v>646</v>
      </c>
      <c r="E9" s="7" t="s">
        <v>647</v>
      </c>
      <c r="F9" s="6">
        <v>1.3888888934161514E-3</v>
      </c>
      <c r="G9" s="7">
        <v>2</v>
      </c>
      <c r="H9" s="7" t="s">
        <v>648</v>
      </c>
      <c r="I9" s="58" t="s">
        <v>62</v>
      </c>
      <c r="J9" s="7" t="s">
        <v>141</v>
      </c>
      <c r="K9" s="7" t="s">
        <v>618</v>
      </c>
      <c r="L9" s="7"/>
      <c r="M9" s="7"/>
      <c r="N9" s="7"/>
      <c r="O9" s="7" t="s">
        <v>649</v>
      </c>
    </row>
    <row r="10" spans="1:15" ht="26" x14ac:dyDescent="0.3">
      <c r="A10" s="7">
        <v>9</v>
      </c>
      <c r="B10" s="7" t="s">
        <v>15</v>
      </c>
      <c r="C10" s="7" t="s">
        <v>16</v>
      </c>
      <c r="D10" s="7" t="s">
        <v>650</v>
      </c>
      <c r="E10" s="7" t="s">
        <v>651</v>
      </c>
      <c r="F10" s="6">
        <v>8.4328703703703697E-2</v>
      </c>
      <c r="G10" s="7">
        <v>121</v>
      </c>
      <c r="H10" s="7" t="s">
        <v>622</v>
      </c>
      <c r="I10" s="59" t="s">
        <v>652</v>
      </c>
      <c r="J10" s="7" t="s">
        <v>21</v>
      </c>
      <c r="K10" s="7" t="s">
        <v>624</v>
      </c>
      <c r="L10" s="7"/>
      <c r="M10" s="7"/>
      <c r="N10" s="7"/>
      <c r="O10" s="7" t="s">
        <v>625</v>
      </c>
    </row>
    <row r="11" spans="1:15" ht="26" x14ac:dyDescent="0.3">
      <c r="A11" s="7">
        <v>10</v>
      </c>
      <c r="B11" s="7" t="s">
        <v>15</v>
      </c>
      <c r="C11" s="7" t="s">
        <v>16</v>
      </c>
      <c r="D11" s="7" t="s">
        <v>650</v>
      </c>
      <c r="E11" s="7" t="s">
        <v>651</v>
      </c>
      <c r="F11" s="6">
        <v>8.4328703703703697E-2</v>
      </c>
      <c r="G11" s="7">
        <v>121</v>
      </c>
      <c r="H11" s="7" t="s">
        <v>653</v>
      </c>
      <c r="I11" s="59" t="s">
        <v>652</v>
      </c>
      <c r="J11" s="7" t="s">
        <v>21</v>
      </c>
      <c r="K11" s="7" t="s">
        <v>618</v>
      </c>
      <c r="L11" s="7"/>
      <c r="M11" s="7"/>
      <c r="N11" s="7"/>
      <c r="O11" s="7" t="s">
        <v>654</v>
      </c>
    </row>
    <row r="12" spans="1:15" ht="26" x14ac:dyDescent="0.3">
      <c r="A12" s="7">
        <v>11</v>
      </c>
      <c r="B12" s="7" t="s">
        <v>23</v>
      </c>
      <c r="C12" s="7" t="s">
        <v>16</v>
      </c>
      <c r="D12" s="7" t="s">
        <v>655</v>
      </c>
      <c r="E12" s="7" t="s">
        <v>656</v>
      </c>
      <c r="F12" s="6">
        <v>5.5555555445607752E-4</v>
      </c>
      <c r="G12" s="7">
        <v>0</v>
      </c>
      <c r="H12" s="7" t="s">
        <v>657</v>
      </c>
      <c r="I12" s="58" t="s">
        <v>658</v>
      </c>
      <c r="J12" s="7" t="s">
        <v>21</v>
      </c>
      <c r="K12" s="7" t="s">
        <v>624</v>
      </c>
      <c r="L12" s="7"/>
      <c r="M12" s="7"/>
      <c r="N12" s="7"/>
      <c r="O12" s="7" t="s">
        <v>659</v>
      </c>
    </row>
    <row r="13" spans="1:15" ht="65" x14ac:dyDescent="0.3">
      <c r="A13" s="7">
        <v>12</v>
      </c>
      <c r="B13" s="7" t="s">
        <v>15</v>
      </c>
      <c r="C13" s="7" t="s">
        <v>16</v>
      </c>
      <c r="D13" s="7" t="s">
        <v>660</v>
      </c>
      <c r="E13" s="7" t="s">
        <v>661</v>
      </c>
      <c r="F13" s="6">
        <v>6.4004629629629628E-3</v>
      </c>
      <c r="G13" s="7">
        <v>9</v>
      </c>
      <c r="H13" s="7" t="s">
        <v>662</v>
      </c>
      <c r="I13" s="58" t="s">
        <v>663</v>
      </c>
      <c r="J13" s="7" t="s">
        <v>21</v>
      </c>
      <c r="K13" s="7" t="s">
        <v>618</v>
      </c>
      <c r="L13" s="7"/>
      <c r="M13" s="7"/>
      <c r="N13" s="7"/>
      <c r="O13" s="7" t="s">
        <v>619</v>
      </c>
    </row>
    <row r="14" spans="1:15" ht="39" x14ac:dyDescent="0.3">
      <c r="A14" s="7">
        <v>13</v>
      </c>
      <c r="B14" s="7" t="s">
        <v>23</v>
      </c>
      <c r="C14" s="7" t="s">
        <v>16</v>
      </c>
      <c r="D14" s="7" t="s">
        <v>664</v>
      </c>
      <c r="E14" s="7" t="s">
        <v>665</v>
      </c>
      <c r="F14" s="6">
        <v>1.3888889225199819E-4</v>
      </c>
      <c r="G14" s="7">
        <v>0</v>
      </c>
      <c r="H14" s="7" t="s">
        <v>666</v>
      </c>
      <c r="I14" s="58" t="s">
        <v>667</v>
      </c>
      <c r="J14" s="7" t="s">
        <v>21</v>
      </c>
      <c r="K14" s="7" t="s">
        <v>624</v>
      </c>
      <c r="L14" s="7"/>
      <c r="M14" s="7"/>
      <c r="N14" s="7"/>
      <c r="O14" s="7" t="s">
        <v>668</v>
      </c>
    </row>
    <row r="15" spans="1:15" ht="39" x14ac:dyDescent="0.3">
      <c r="A15" s="7">
        <v>14</v>
      </c>
      <c r="B15" s="7" t="s">
        <v>23</v>
      </c>
      <c r="C15" s="7" t="s">
        <v>16</v>
      </c>
      <c r="D15" s="7" t="s">
        <v>669</v>
      </c>
      <c r="E15" s="7" t="s">
        <v>670</v>
      </c>
      <c r="F15" s="6">
        <v>2.2106481481481482E-3</v>
      </c>
      <c r="G15" s="7">
        <v>3</v>
      </c>
      <c r="H15" s="7" t="s">
        <v>671</v>
      </c>
      <c r="I15" s="58" t="s">
        <v>672</v>
      </c>
      <c r="J15" s="7" t="s">
        <v>21</v>
      </c>
      <c r="K15" s="7" t="s">
        <v>624</v>
      </c>
      <c r="L15" s="7"/>
      <c r="M15" s="7"/>
      <c r="N15" s="7"/>
      <c r="O15" s="7" t="s">
        <v>673</v>
      </c>
    </row>
    <row r="16" spans="1:15" ht="65" x14ac:dyDescent="0.3">
      <c r="A16" s="7">
        <v>15</v>
      </c>
      <c r="B16" s="7" t="s">
        <v>23</v>
      </c>
      <c r="C16" s="7" t="s">
        <v>16</v>
      </c>
      <c r="D16" s="7" t="s">
        <v>674</v>
      </c>
      <c r="E16" s="7" t="s">
        <v>675</v>
      </c>
      <c r="F16" s="6">
        <v>6.1111111111111114E-3</v>
      </c>
      <c r="G16" s="7">
        <v>9</v>
      </c>
      <c r="H16" s="7" t="s">
        <v>671</v>
      </c>
      <c r="I16" s="58" t="s">
        <v>676</v>
      </c>
      <c r="J16" s="7" t="s">
        <v>21</v>
      </c>
      <c r="K16" s="7" t="s">
        <v>624</v>
      </c>
      <c r="L16" s="7"/>
      <c r="M16" s="7"/>
      <c r="N16" s="7"/>
      <c r="O16" s="7" t="s">
        <v>673</v>
      </c>
    </row>
    <row r="17" spans="1:15" ht="26" x14ac:dyDescent="0.3">
      <c r="A17" s="7">
        <v>16</v>
      </c>
      <c r="B17" s="7" t="s">
        <v>23</v>
      </c>
      <c r="C17" s="7" t="s">
        <v>16</v>
      </c>
      <c r="D17" s="7" t="s">
        <v>677</v>
      </c>
      <c r="E17" s="7" t="s">
        <v>678</v>
      </c>
      <c r="F17" s="6">
        <v>5.7870369346346706E-5</v>
      </c>
      <c r="G17" s="7">
        <v>0</v>
      </c>
      <c r="H17" s="7" t="s">
        <v>679</v>
      </c>
      <c r="I17" s="58" t="s">
        <v>680</v>
      </c>
      <c r="J17" s="7" t="s">
        <v>21</v>
      </c>
      <c r="K17" s="7" t="s">
        <v>624</v>
      </c>
      <c r="L17" s="7"/>
      <c r="M17" s="7"/>
      <c r="N17" s="7"/>
      <c r="O17" s="7" t="s">
        <v>681</v>
      </c>
    </row>
    <row r="18" spans="1:15" ht="39" x14ac:dyDescent="0.3">
      <c r="A18" s="7">
        <v>17</v>
      </c>
      <c r="B18" s="7" t="s">
        <v>23</v>
      </c>
      <c r="C18" s="7" t="s">
        <v>16</v>
      </c>
      <c r="D18" s="7" t="s">
        <v>682</v>
      </c>
      <c r="E18" s="7" t="s">
        <v>683</v>
      </c>
      <c r="F18" s="6">
        <v>3.5995370370370369E-3</v>
      </c>
      <c r="G18" s="7">
        <v>5</v>
      </c>
      <c r="H18" s="7" t="s">
        <v>622</v>
      </c>
      <c r="I18" s="60" t="s">
        <v>684</v>
      </c>
      <c r="J18" s="7" t="s">
        <v>21</v>
      </c>
      <c r="K18" s="7" t="s">
        <v>624</v>
      </c>
      <c r="L18" s="7"/>
      <c r="M18" s="7"/>
      <c r="N18" s="7"/>
      <c r="O18" s="7" t="s">
        <v>625</v>
      </c>
    </row>
    <row r="19" spans="1:15" ht="52" x14ac:dyDescent="0.3">
      <c r="A19" s="7">
        <v>18</v>
      </c>
      <c r="B19" s="7" t="s">
        <v>23</v>
      </c>
      <c r="C19" s="7" t="s">
        <v>16</v>
      </c>
      <c r="D19" s="7" t="s">
        <v>685</v>
      </c>
      <c r="E19" s="7" t="s">
        <v>686</v>
      </c>
      <c r="F19" s="6">
        <v>5.7870370370370373E-5</v>
      </c>
      <c r="G19" s="7">
        <v>0</v>
      </c>
      <c r="H19" s="7" t="s">
        <v>687</v>
      </c>
      <c r="I19" s="58" t="s">
        <v>688</v>
      </c>
      <c r="J19" s="7" t="s">
        <v>21</v>
      </c>
      <c r="K19" s="7" t="s">
        <v>624</v>
      </c>
      <c r="L19" s="7"/>
      <c r="M19" s="7"/>
      <c r="N19" s="7"/>
      <c r="O19" s="7" t="s">
        <v>659</v>
      </c>
    </row>
    <row r="20" spans="1:15" ht="26" x14ac:dyDescent="0.3">
      <c r="A20" s="7">
        <v>19</v>
      </c>
      <c r="B20" s="7" t="s">
        <v>23</v>
      </c>
      <c r="C20" s="7" t="s">
        <v>16</v>
      </c>
      <c r="D20" s="7" t="s">
        <v>689</v>
      </c>
      <c r="E20" s="7" t="s">
        <v>690</v>
      </c>
      <c r="F20" s="6">
        <v>1.273148154723458E-4</v>
      </c>
      <c r="G20" s="7">
        <v>0</v>
      </c>
      <c r="H20" s="7" t="s">
        <v>679</v>
      </c>
      <c r="I20" s="58" t="s">
        <v>691</v>
      </c>
      <c r="J20" s="7" t="s">
        <v>21</v>
      </c>
      <c r="K20" s="7" t="s">
        <v>624</v>
      </c>
      <c r="L20" s="7"/>
      <c r="M20" s="7"/>
      <c r="N20" s="7"/>
      <c r="O20" s="7" t="s">
        <v>681</v>
      </c>
    </row>
    <row r="21" spans="1:15" ht="48" x14ac:dyDescent="0.3">
      <c r="A21" s="7">
        <v>20</v>
      </c>
      <c r="B21" s="7" t="s">
        <v>23</v>
      </c>
      <c r="C21" s="7" t="s">
        <v>16</v>
      </c>
      <c r="D21" s="7" t="s">
        <v>692</v>
      </c>
      <c r="E21" s="7" t="s">
        <v>693</v>
      </c>
      <c r="F21" s="6">
        <v>1.0300925925925926E-3</v>
      </c>
      <c r="G21" s="7">
        <v>1</v>
      </c>
      <c r="H21" s="7" t="s">
        <v>694</v>
      </c>
      <c r="I21" s="58" t="s">
        <v>695</v>
      </c>
      <c r="J21" s="7" t="s">
        <v>302</v>
      </c>
      <c r="K21" s="7" t="s">
        <v>624</v>
      </c>
      <c r="L21" s="12" t="s">
        <v>142</v>
      </c>
      <c r="M21" s="7"/>
      <c r="N21" s="7"/>
      <c r="O21" s="7" t="s">
        <v>696</v>
      </c>
    </row>
    <row r="22" spans="1:15" ht="65" x14ac:dyDescent="0.3">
      <c r="A22" s="7">
        <v>21</v>
      </c>
      <c r="B22" s="7" t="s">
        <v>23</v>
      </c>
      <c r="C22" s="7" t="s">
        <v>16</v>
      </c>
      <c r="D22" s="7" t="s">
        <v>697</v>
      </c>
      <c r="E22" s="7" t="s">
        <v>698</v>
      </c>
      <c r="F22" s="6">
        <v>3.5185185188311152E-3</v>
      </c>
      <c r="G22" s="7">
        <v>5</v>
      </c>
      <c r="H22" s="7" t="s">
        <v>699</v>
      </c>
      <c r="I22" s="58" t="s">
        <v>700</v>
      </c>
      <c r="J22" s="7" t="s">
        <v>141</v>
      </c>
      <c r="K22" s="7" t="s">
        <v>624</v>
      </c>
      <c r="L22" s="12" t="s">
        <v>142</v>
      </c>
      <c r="M22" s="7"/>
      <c r="N22" s="7"/>
      <c r="O22" s="7" t="s">
        <v>701</v>
      </c>
    </row>
    <row r="23" spans="1:15" ht="91" x14ac:dyDescent="0.3">
      <c r="A23" s="7">
        <v>22</v>
      </c>
      <c r="B23" s="7" t="s">
        <v>15</v>
      </c>
      <c r="C23" s="7" t="s">
        <v>16</v>
      </c>
      <c r="D23" s="7" t="s">
        <v>702</v>
      </c>
      <c r="E23" s="7" t="s">
        <v>703</v>
      </c>
      <c r="F23" s="6">
        <v>3.1701388892543036E-2</v>
      </c>
      <c r="G23" s="7">
        <v>46</v>
      </c>
      <c r="H23" s="7" t="s">
        <v>704</v>
      </c>
      <c r="I23" s="58" t="s">
        <v>705</v>
      </c>
      <c r="J23" s="7" t="s">
        <v>28</v>
      </c>
      <c r="K23" s="7" t="s">
        <v>618</v>
      </c>
      <c r="L23" s="7"/>
      <c r="M23" s="7"/>
      <c r="N23" s="7"/>
      <c r="O23" s="7" t="s">
        <v>706</v>
      </c>
    </row>
    <row r="24" spans="1:15" ht="91" x14ac:dyDescent="0.3">
      <c r="A24" s="7">
        <v>23</v>
      </c>
      <c r="B24" s="7" t="s">
        <v>23</v>
      </c>
      <c r="C24" s="7" t="s">
        <v>16</v>
      </c>
      <c r="D24" s="7" t="s">
        <v>707</v>
      </c>
      <c r="E24" s="7" t="s">
        <v>708</v>
      </c>
      <c r="F24" s="6">
        <v>8.564814814814815E-4</v>
      </c>
      <c r="G24" s="7">
        <v>1</v>
      </c>
      <c r="H24" s="7" t="s">
        <v>679</v>
      </c>
      <c r="I24" s="58" t="s">
        <v>709</v>
      </c>
      <c r="J24" s="7" t="s">
        <v>21</v>
      </c>
      <c r="K24" s="7" t="s">
        <v>624</v>
      </c>
      <c r="L24" s="7"/>
      <c r="M24" s="7"/>
      <c r="N24" s="7"/>
      <c r="O24" s="7" t="s">
        <v>681</v>
      </c>
    </row>
    <row r="25" spans="1:15" ht="39" x14ac:dyDescent="0.3">
      <c r="A25" s="7">
        <v>24</v>
      </c>
      <c r="B25" s="7" t="s">
        <v>23</v>
      </c>
      <c r="C25" s="7" t="s">
        <v>16</v>
      </c>
      <c r="D25" s="7" t="s">
        <v>710</v>
      </c>
      <c r="E25" s="7" t="s">
        <v>711</v>
      </c>
      <c r="F25" s="6">
        <v>1.9675925925925926E-4</v>
      </c>
      <c r="G25" s="7">
        <v>0</v>
      </c>
      <c r="H25" s="7" t="s">
        <v>679</v>
      </c>
      <c r="I25" s="58" t="s">
        <v>712</v>
      </c>
      <c r="J25" s="7" t="s">
        <v>21</v>
      </c>
      <c r="K25" s="7" t="s">
        <v>624</v>
      </c>
      <c r="L25" s="7"/>
      <c r="M25" s="7"/>
      <c r="N25" s="7"/>
      <c r="O25" s="7" t="s">
        <v>681</v>
      </c>
    </row>
    <row r="26" spans="1:15" ht="26" x14ac:dyDescent="0.3">
      <c r="A26" s="7">
        <v>25</v>
      </c>
      <c r="B26" s="7" t="s">
        <v>23</v>
      </c>
      <c r="C26" s="7" t="s">
        <v>16</v>
      </c>
      <c r="D26" s="7" t="s">
        <v>713</v>
      </c>
      <c r="E26" s="7" t="s">
        <v>714</v>
      </c>
      <c r="F26" s="6">
        <v>3.900462957972195E-3</v>
      </c>
      <c r="G26" s="7">
        <v>6</v>
      </c>
      <c r="H26" s="7" t="s">
        <v>671</v>
      </c>
      <c r="I26" s="58" t="s">
        <v>715</v>
      </c>
      <c r="J26" s="7" t="s">
        <v>21</v>
      </c>
      <c r="K26" s="7" t="s">
        <v>624</v>
      </c>
      <c r="L26" s="7"/>
      <c r="M26" s="7"/>
      <c r="N26" s="7"/>
      <c r="O26" s="7" t="s">
        <v>673</v>
      </c>
    </row>
    <row r="27" spans="1:15" ht="26" x14ac:dyDescent="0.3">
      <c r="A27" s="7">
        <v>26</v>
      </c>
      <c r="B27" s="7" t="s">
        <v>23</v>
      </c>
      <c r="C27" s="7" t="s">
        <v>16</v>
      </c>
      <c r="D27" s="7" t="s">
        <v>716</v>
      </c>
      <c r="E27" s="7" t="s">
        <v>717</v>
      </c>
      <c r="F27" s="6">
        <v>3.9351851592073217E-4</v>
      </c>
      <c r="G27" s="7">
        <v>1</v>
      </c>
      <c r="H27" s="7" t="s">
        <v>679</v>
      </c>
      <c r="I27" s="58" t="s">
        <v>718</v>
      </c>
      <c r="J27" s="7" t="s">
        <v>21</v>
      </c>
      <c r="K27" s="7" t="s">
        <v>624</v>
      </c>
      <c r="L27" s="7"/>
      <c r="M27" s="7"/>
      <c r="N27" s="7"/>
      <c r="O27" s="7" t="s">
        <v>681</v>
      </c>
    </row>
    <row r="28" spans="1:15" ht="26" x14ac:dyDescent="0.3">
      <c r="A28" s="7">
        <v>27</v>
      </c>
      <c r="B28" s="7" t="s">
        <v>23</v>
      </c>
      <c r="C28" s="7" t="s">
        <v>16</v>
      </c>
      <c r="D28" s="7" t="s">
        <v>719</v>
      </c>
      <c r="E28" s="7" t="s">
        <v>720</v>
      </c>
      <c r="F28" s="6">
        <v>1.8518518481869251E-4</v>
      </c>
      <c r="G28" s="7">
        <v>0</v>
      </c>
      <c r="H28" s="7" t="s">
        <v>679</v>
      </c>
      <c r="I28" s="58" t="s">
        <v>721</v>
      </c>
      <c r="J28" s="7" t="s">
        <v>21</v>
      </c>
      <c r="K28" s="7" t="s">
        <v>624</v>
      </c>
      <c r="L28" s="7"/>
      <c r="M28" s="7"/>
      <c r="N28" s="7"/>
      <c r="O28" s="7" t="s">
        <v>681</v>
      </c>
    </row>
    <row r="29" spans="1:15" ht="39" x14ac:dyDescent="0.3">
      <c r="A29" s="7">
        <v>28</v>
      </c>
      <c r="B29" s="7" t="s">
        <v>23</v>
      </c>
      <c r="C29" s="7" t="s">
        <v>16</v>
      </c>
      <c r="D29" s="7" t="s">
        <v>722</v>
      </c>
      <c r="E29" s="7" t="s">
        <v>723</v>
      </c>
      <c r="F29" s="6">
        <v>2.1273148144246079E-2</v>
      </c>
      <c r="G29" s="7">
        <v>31</v>
      </c>
      <c r="H29" s="7" t="s">
        <v>724</v>
      </c>
      <c r="I29" s="58" t="s">
        <v>725</v>
      </c>
      <c r="J29" s="7" t="s">
        <v>21</v>
      </c>
      <c r="K29" s="7" t="s">
        <v>624</v>
      </c>
      <c r="L29" s="7"/>
      <c r="M29" s="7"/>
      <c r="N29" s="7"/>
      <c r="O29" s="7" t="s">
        <v>726</v>
      </c>
    </row>
    <row r="30" spans="1:15" ht="39" x14ac:dyDescent="0.3">
      <c r="A30" s="7">
        <v>29</v>
      </c>
      <c r="B30" s="7" t="s">
        <v>23</v>
      </c>
      <c r="C30" s="7" t="s">
        <v>16</v>
      </c>
      <c r="D30" s="18" t="s">
        <v>727</v>
      </c>
      <c r="E30" s="18" t="s">
        <v>728</v>
      </c>
      <c r="F30" s="19">
        <v>4.6296292566694319E-5</v>
      </c>
      <c r="G30" s="20">
        <v>0</v>
      </c>
      <c r="H30" s="7" t="s">
        <v>729</v>
      </c>
      <c r="I30" s="61" t="s">
        <v>730</v>
      </c>
      <c r="J30" s="7" t="s">
        <v>21</v>
      </c>
      <c r="K30" s="7" t="s">
        <v>618</v>
      </c>
      <c r="L30" s="7"/>
      <c r="M30" s="7"/>
      <c r="N30" s="7"/>
      <c r="O30" s="7" t="s">
        <v>731</v>
      </c>
    </row>
    <row r="31" spans="1:15" ht="169" x14ac:dyDescent="0.3">
      <c r="A31" s="7">
        <v>1</v>
      </c>
      <c r="B31" s="7" t="s">
        <v>36</v>
      </c>
      <c r="C31" s="23" t="s">
        <v>190</v>
      </c>
      <c r="D31" s="7" t="s">
        <v>732</v>
      </c>
      <c r="E31" s="7" t="s">
        <v>733</v>
      </c>
      <c r="F31" s="6">
        <v>8.2986111111111108E-3</v>
      </c>
      <c r="G31" s="7">
        <v>12</v>
      </c>
      <c r="H31" s="7" t="s">
        <v>734</v>
      </c>
      <c r="I31" s="58" t="s">
        <v>735</v>
      </c>
      <c r="J31" s="7" t="s">
        <v>21</v>
      </c>
      <c r="K31" s="7" t="s">
        <v>624</v>
      </c>
      <c r="L31" s="7"/>
      <c r="M31" s="7"/>
      <c r="N31" s="7"/>
      <c r="O31" s="7" t="s">
        <v>736</v>
      </c>
    </row>
    <row r="32" spans="1:15" ht="26" x14ac:dyDescent="0.3">
      <c r="A32" s="7">
        <v>2</v>
      </c>
      <c r="B32" s="7" t="s">
        <v>36</v>
      </c>
      <c r="C32" s="23" t="s">
        <v>190</v>
      </c>
      <c r="D32" s="18" t="s">
        <v>737</v>
      </c>
      <c r="E32" s="18" t="s">
        <v>738</v>
      </c>
      <c r="F32" s="19">
        <v>2.3148148148148147E-5</v>
      </c>
      <c r="G32" s="20">
        <v>3.333333064801991E-2</v>
      </c>
      <c r="H32" s="7" t="s">
        <v>633</v>
      </c>
      <c r="I32" s="61" t="s">
        <v>739</v>
      </c>
      <c r="J32" s="7" t="s">
        <v>174</v>
      </c>
      <c r="K32" s="7" t="s">
        <v>618</v>
      </c>
      <c r="L32" s="7"/>
      <c r="M32" s="7"/>
      <c r="N32" s="7"/>
      <c r="O32" s="7">
        <v>22010056134</v>
      </c>
    </row>
    <row r="33" spans="1:15" ht="39" x14ac:dyDescent="0.3">
      <c r="A33" s="7">
        <v>3</v>
      </c>
      <c r="B33" s="7" t="s">
        <v>36</v>
      </c>
      <c r="C33" s="23" t="s">
        <v>190</v>
      </c>
      <c r="D33" s="18" t="s">
        <v>740</v>
      </c>
      <c r="E33" s="18" t="s">
        <v>741</v>
      </c>
      <c r="F33" s="19">
        <v>2.314814628334716E-5</v>
      </c>
      <c r="G33" s="20">
        <v>3.333333064801991E-2</v>
      </c>
      <c r="H33" s="7" t="s">
        <v>633</v>
      </c>
      <c r="I33" s="61" t="s">
        <v>742</v>
      </c>
      <c r="J33" s="7" t="s">
        <v>21</v>
      </c>
      <c r="K33" s="7" t="s">
        <v>618</v>
      </c>
      <c r="L33" s="7"/>
      <c r="M33" s="7"/>
      <c r="N33" s="7"/>
      <c r="O33" s="7" t="s">
        <v>743</v>
      </c>
    </row>
    <row r="34" spans="1:15" ht="26" x14ac:dyDescent="0.3">
      <c r="A34" s="7">
        <v>4</v>
      </c>
      <c r="B34" s="7" t="s">
        <v>23</v>
      </c>
      <c r="C34" s="23" t="s">
        <v>190</v>
      </c>
      <c r="D34" s="18" t="s">
        <v>744</v>
      </c>
      <c r="E34" s="18" t="s">
        <v>745</v>
      </c>
      <c r="F34" s="19">
        <v>5.057870366727002E-3</v>
      </c>
      <c r="G34" s="20">
        <v>7</v>
      </c>
      <c r="H34" s="7" t="s">
        <v>746</v>
      </c>
      <c r="I34" s="61" t="s">
        <v>747</v>
      </c>
      <c r="J34" s="7" t="s">
        <v>21</v>
      </c>
      <c r="K34" s="7" t="s">
        <v>618</v>
      </c>
      <c r="L34" s="7"/>
      <c r="M34" s="7"/>
      <c r="N34" s="7"/>
      <c r="O34" s="7" t="s">
        <v>748</v>
      </c>
    </row>
    <row r="35" spans="1:15" ht="26" x14ac:dyDescent="0.3">
      <c r="A35" s="7">
        <v>5</v>
      </c>
      <c r="B35" s="7" t="s">
        <v>36</v>
      </c>
      <c r="C35" s="7" t="s">
        <v>190</v>
      </c>
      <c r="D35" s="18" t="s">
        <v>749</v>
      </c>
      <c r="E35" s="18" t="s">
        <v>750</v>
      </c>
      <c r="F35" s="19">
        <v>7.0497685185185177E-2</v>
      </c>
      <c r="G35" s="20">
        <v>102</v>
      </c>
      <c r="H35" s="7" t="s">
        <v>751</v>
      </c>
      <c r="I35" s="61" t="s">
        <v>752</v>
      </c>
      <c r="J35" s="7" t="s">
        <v>28</v>
      </c>
      <c r="K35" s="7" t="s">
        <v>618</v>
      </c>
      <c r="L35" s="7"/>
      <c r="M35" s="7"/>
      <c r="N35" s="7"/>
      <c r="O35" s="7"/>
    </row>
    <row r="36" spans="1:15" ht="52" x14ac:dyDescent="0.3">
      <c r="A36" s="7">
        <v>6</v>
      </c>
      <c r="B36" s="7" t="s">
        <v>15</v>
      </c>
      <c r="C36" s="7" t="s">
        <v>190</v>
      </c>
      <c r="D36" s="24" t="s">
        <v>753</v>
      </c>
      <c r="E36" s="24" t="s">
        <v>754</v>
      </c>
      <c r="F36" s="25">
        <v>7.6238425921474118E-2</v>
      </c>
      <c r="G36" s="26">
        <v>110</v>
      </c>
      <c r="H36" s="7" t="s">
        <v>755</v>
      </c>
      <c r="I36" s="61" t="s">
        <v>756</v>
      </c>
      <c r="J36" s="7" t="s">
        <v>28</v>
      </c>
      <c r="K36" s="7" t="s">
        <v>618</v>
      </c>
      <c r="L36" s="46"/>
      <c r="M36" s="46"/>
      <c r="N36" s="46"/>
      <c r="O36" s="7" t="s">
        <v>757</v>
      </c>
    </row>
    <row r="37" spans="1:15" ht="48" customHeight="1" x14ac:dyDescent="0.3">
      <c r="A37" s="7">
        <v>7</v>
      </c>
      <c r="B37" s="7" t="s">
        <v>23</v>
      </c>
      <c r="C37" s="23" t="s">
        <v>190</v>
      </c>
      <c r="D37" s="24" t="s">
        <v>758</v>
      </c>
      <c r="E37" s="24" t="s">
        <v>759</v>
      </c>
      <c r="F37" s="25">
        <v>3.749999996216502E-3</v>
      </c>
      <c r="G37" s="26">
        <v>5</v>
      </c>
      <c r="H37" s="7" t="s">
        <v>760</v>
      </c>
      <c r="I37" s="61" t="s">
        <v>761</v>
      </c>
      <c r="J37" s="7" t="s">
        <v>21</v>
      </c>
      <c r="K37" s="7" t="s">
        <v>618</v>
      </c>
      <c r="L37" s="7"/>
      <c r="M37" s="7"/>
      <c r="N37" s="7"/>
      <c r="O37" s="7" t="s">
        <v>619</v>
      </c>
    </row>
    <row r="38" spans="1:15" ht="26" x14ac:dyDescent="0.3">
      <c r="A38" s="7">
        <v>8</v>
      </c>
      <c r="B38" s="7" t="s">
        <v>23</v>
      </c>
      <c r="C38" s="23" t="s">
        <v>190</v>
      </c>
      <c r="D38" s="24" t="s">
        <v>762</v>
      </c>
      <c r="E38" s="24" t="s">
        <v>763</v>
      </c>
      <c r="F38" s="25">
        <v>5.1284722219861578E-2</v>
      </c>
      <c r="G38" s="26">
        <v>74</v>
      </c>
      <c r="H38" s="7" t="s">
        <v>764</v>
      </c>
      <c r="I38" s="61" t="s">
        <v>228</v>
      </c>
      <c r="J38" s="7" t="s">
        <v>21</v>
      </c>
      <c r="K38" s="7" t="s">
        <v>618</v>
      </c>
      <c r="L38" s="7"/>
      <c r="M38" s="7"/>
      <c r="N38" s="7"/>
      <c r="O38" s="7" t="s">
        <v>765</v>
      </c>
    </row>
    <row r="39" spans="1:15" ht="60" x14ac:dyDescent="0.3">
      <c r="A39" s="7">
        <v>9</v>
      </c>
      <c r="B39" s="7" t="s">
        <v>23</v>
      </c>
      <c r="C39" s="23" t="s">
        <v>190</v>
      </c>
      <c r="D39" s="24" t="s">
        <v>766</v>
      </c>
      <c r="E39" s="24" t="s">
        <v>767</v>
      </c>
      <c r="F39" s="25">
        <v>3.7499999999999999E-3</v>
      </c>
      <c r="G39" s="7">
        <v>5</v>
      </c>
      <c r="H39" s="7" t="s">
        <v>679</v>
      </c>
      <c r="I39" s="58" t="s">
        <v>768</v>
      </c>
      <c r="J39" s="7" t="s">
        <v>21</v>
      </c>
      <c r="K39" s="7" t="s">
        <v>624</v>
      </c>
      <c r="L39" s="7"/>
      <c r="M39" s="7"/>
      <c r="N39" s="7"/>
      <c r="O39" s="7" t="s">
        <v>681</v>
      </c>
    </row>
    <row r="40" spans="1:15" ht="48" x14ac:dyDescent="0.3">
      <c r="A40" s="7">
        <v>10</v>
      </c>
      <c r="B40" s="7" t="s">
        <v>23</v>
      </c>
      <c r="C40" s="23" t="s">
        <v>190</v>
      </c>
      <c r="D40" s="24" t="s">
        <v>769</v>
      </c>
      <c r="E40" s="24" t="s">
        <v>770</v>
      </c>
      <c r="F40" s="25">
        <v>2.2800925925925927E-3</v>
      </c>
      <c r="G40" s="7">
        <v>3</v>
      </c>
      <c r="H40" s="7" t="s">
        <v>679</v>
      </c>
      <c r="I40" s="58" t="s">
        <v>771</v>
      </c>
      <c r="J40" s="7" t="s">
        <v>21</v>
      </c>
      <c r="K40" s="7" t="s">
        <v>624</v>
      </c>
      <c r="L40" s="7"/>
      <c r="M40" s="7"/>
      <c r="N40" s="7"/>
      <c r="O40" s="7" t="s">
        <v>681</v>
      </c>
    </row>
    <row r="41" spans="1:15" ht="65" x14ac:dyDescent="0.3">
      <c r="A41" s="7">
        <v>11</v>
      </c>
      <c r="B41" s="7" t="s">
        <v>36</v>
      </c>
      <c r="C41" s="23" t="s">
        <v>190</v>
      </c>
      <c r="D41" s="24" t="s">
        <v>772</v>
      </c>
      <c r="E41" s="24" t="s">
        <v>773</v>
      </c>
      <c r="F41" s="25">
        <v>2.3148148148148147E-5</v>
      </c>
      <c r="G41" s="7">
        <v>0</v>
      </c>
      <c r="H41" s="7" t="s">
        <v>774</v>
      </c>
      <c r="I41" s="58" t="s">
        <v>775</v>
      </c>
      <c r="J41" s="7" t="s">
        <v>174</v>
      </c>
      <c r="K41" s="7" t="s">
        <v>618</v>
      </c>
      <c r="L41" s="7"/>
      <c r="M41" s="7"/>
      <c r="N41" s="7"/>
      <c r="O41" s="7" t="s">
        <v>776</v>
      </c>
    </row>
    <row r="42" spans="1:15" ht="36" x14ac:dyDescent="0.3">
      <c r="A42" s="7">
        <v>12</v>
      </c>
      <c r="B42" s="7" t="s">
        <v>36</v>
      </c>
      <c r="C42" s="23" t="s">
        <v>190</v>
      </c>
      <c r="D42" s="24" t="s">
        <v>777</v>
      </c>
      <c r="E42" s="24" t="s">
        <v>778</v>
      </c>
      <c r="F42" s="25">
        <v>3.9930555555555552E-3</v>
      </c>
      <c r="G42" s="7">
        <v>6</v>
      </c>
      <c r="H42" s="7" t="s">
        <v>779</v>
      </c>
      <c r="I42" s="58" t="s">
        <v>780</v>
      </c>
      <c r="J42" s="7" t="s">
        <v>21</v>
      </c>
      <c r="K42" s="7" t="s">
        <v>624</v>
      </c>
      <c r="L42" s="7"/>
      <c r="M42" s="7"/>
      <c r="N42" s="7"/>
      <c r="O42" s="7" t="s">
        <v>781</v>
      </c>
    </row>
    <row r="43" spans="1:15" ht="65" x14ac:dyDescent="0.3">
      <c r="A43" s="7">
        <v>13</v>
      </c>
      <c r="B43" s="7" t="s">
        <v>36</v>
      </c>
      <c r="C43" s="23" t="s">
        <v>190</v>
      </c>
      <c r="D43" s="24" t="s">
        <v>782</v>
      </c>
      <c r="E43" s="24" t="s">
        <v>783</v>
      </c>
      <c r="F43" s="25">
        <v>2.3148153559304774E-5</v>
      </c>
      <c r="G43" s="7">
        <v>0</v>
      </c>
      <c r="H43" s="7" t="s">
        <v>774</v>
      </c>
      <c r="I43" s="58" t="s">
        <v>784</v>
      </c>
      <c r="J43" s="7" t="s">
        <v>174</v>
      </c>
      <c r="K43" s="7" t="s">
        <v>618</v>
      </c>
      <c r="L43" s="7"/>
      <c r="M43" s="7"/>
      <c r="N43" s="7"/>
      <c r="O43" s="7" t="s">
        <v>776</v>
      </c>
    </row>
    <row r="44" spans="1:15" ht="36" x14ac:dyDescent="0.3">
      <c r="A44" s="7">
        <v>14</v>
      </c>
      <c r="B44" s="7" t="s">
        <v>23</v>
      </c>
      <c r="C44" s="23" t="s">
        <v>190</v>
      </c>
      <c r="D44" s="24" t="s">
        <v>785</v>
      </c>
      <c r="E44" s="24" t="s">
        <v>786</v>
      </c>
      <c r="F44" s="25">
        <v>5.7870370370370367E-4</v>
      </c>
      <c r="G44" s="7">
        <v>1</v>
      </c>
      <c r="H44" s="7" t="s">
        <v>679</v>
      </c>
      <c r="I44" s="58" t="s">
        <v>787</v>
      </c>
      <c r="J44" s="7" t="s">
        <v>21</v>
      </c>
      <c r="K44" s="7" t="s">
        <v>624</v>
      </c>
      <c r="L44" s="7"/>
      <c r="M44" s="7"/>
      <c r="N44" s="7"/>
      <c r="O44" s="7" t="s">
        <v>681</v>
      </c>
    </row>
    <row r="45" spans="1:15" ht="87" customHeight="1" x14ac:dyDescent="0.3">
      <c r="A45" s="7">
        <v>16</v>
      </c>
      <c r="B45" s="7" t="s">
        <v>36</v>
      </c>
      <c r="C45" s="23" t="s">
        <v>190</v>
      </c>
      <c r="D45" s="24" t="s">
        <v>788</v>
      </c>
      <c r="E45" s="24" t="s">
        <v>789</v>
      </c>
      <c r="F45" s="25">
        <v>2.4189814814814816E-3</v>
      </c>
      <c r="G45" s="7">
        <v>3</v>
      </c>
      <c r="H45" s="7" t="s">
        <v>790</v>
      </c>
      <c r="I45" s="58" t="s">
        <v>791</v>
      </c>
      <c r="J45" s="7" t="s">
        <v>21</v>
      </c>
      <c r="K45" s="7" t="s">
        <v>624</v>
      </c>
      <c r="L45" s="12"/>
      <c r="M45" s="7"/>
      <c r="N45" s="7"/>
      <c r="O45" s="7" t="s">
        <v>792</v>
      </c>
    </row>
    <row r="46" spans="1:15" ht="39" x14ac:dyDescent="0.3">
      <c r="A46" s="7">
        <v>17</v>
      </c>
      <c r="B46" s="7" t="s">
        <v>36</v>
      </c>
      <c r="C46" s="23" t="s">
        <v>190</v>
      </c>
      <c r="D46" s="24" t="s">
        <v>793</v>
      </c>
      <c r="E46" s="24" t="s">
        <v>794</v>
      </c>
      <c r="F46" s="25">
        <v>4.9884259278769605E-3</v>
      </c>
      <c r="G46" s="7">
        <v>7</v>
      </c>
      <c r="H46" s="34" t="s">
        <v>795</v>
      </c>
      <c r="I46" s="62" t="s">
        <v>796</v>
      </c>
      <c r="J46" s="7" t="s">
        <v>21</v>
      </c>
      <c r="K46" s="2" t="s">
        <v>624</v>
      </c>
      <c r="L46" s="2"/>
      <c r="M46" s="2"/>
      <c r="N46" s="2"/>
      <c r="O46" s="2" t="s">
        <v>797</v>
      </c>
    </row>
    <row r="47" spans="1:15" ht="52" x14ac:dyDescent="0.3">
      <c r="A47" s="7">
        <v>18</v>
      </c>
      <c r="B47" s="7" t="s">
        <v>23</v>
      </c>
      <c r="C47" s="23" t="s">
        <v>190</v>
      </c>
      <c r="D47" s="24" t="s">
        <v>798</v>
      </c>
      <c r="E47" s="24" t="s">
        <v>799</v>
      </c>
      <c r="F47" s="25">
        <v>1.5625000014551915E-3</v>
      </c>
      <c r="G47" s="7">
        <v>2</v>
      </c>
      <c r="H47" s="7" t="s">
        <v>800</v>
      </c>
      <c r="I47" s="63" t="s">
        <v>801</v>
      </c>
      <c r="J47" s="7" t="s">
        <v>21</v>
      </c>
      <c r="K47" s="7" t="s">
        <v>618</v>
      </c>
      <c r="L47" s="46"/>
      <c r="M47" s="46"/>
      <c r="N47" s="46"/>
      <c r="O47" s="7" t="s">
        <v>802</v>
      </c>
    </row>
    <row r="48" spans="1:15" ht="175.4" customHeight="1" x14ac:dyDescent="0.3">
      <c r="A48" s="7">
        <v>19</v>
      </c>
      <c r="B48" s="7" t="s">
        <v>36</v>
      </c>
      <c r="C48" s="23" t="s">
        <v>190</v>
      </c>
      <c r="D48" s="24" t="s">
        <v>803</v>
      </c>
      <c r="E48" s="24" t="s">
        <v>804</v>
      </c>
      <c r="F48" s="25">
        <v>3.6782407407407409E-2</v>
      </c>
      <c r="G48" s="7">
        <v>53</v>
      </c>
      <c r="H48" s="35" t="s">
        <v>805</v>
      </c>
      <c r="I48" s="61" t="s">
        <v>806</v>
      </c>
      <c r="J48" s="7" t="s">
        <v>21</v>
      </c>
      <c r="K48" s="2" t="s">
        <v>618</v>
      </c>
      <c r="L48" s="2"/>
      <c r="M48" s="2"/>
      <c r="N48" s="2"/>
      <c r="O48" s="2" t="s">
        <v>654</v>
      </c>
    </row>
    <row r="49" spans="1:15" ht="65" x14ac:dyDescent="0.3">
      <c r="A49" s="7">
        <v>20</v>
      </c>
      <c r="B49" s="7" t="s">
        <v>36</v>
      </c>
      <c r="C49" s="23" t="s">
        <v>190</v>
      </c>
      <c r="D49" s="24" t="s">
        <v>807</v>
      </c>
      <c r="E49" s="24" t="s">
        <v>808</v>
      </c>
      <c r="F49" s="25">
        <v>5.9722222222222225E-3</v>
      </c>
      <c r="G49" s="7">
        <v>9</v>
      </c>
      <c r="H49" s="7" t="s">
        <v>809</v>
      </c>
      <c r="I49" s="61" t="s">
        <v>810</v>
      </c>
      <c r="J49" s="7" t="s">
        <v>21</v>
      </c>
      <c r="K49" s="7" t="s">
        <v>624</v>
      </c>
      <c r="L49" s="7"/>
      <c r="M49" s="7"/>
      <c r="N49" s="7"/>
      <c r="O49" s="7" t="s">
        <v>625</v>
      </c>
    </row>
    <row r="50" spans="1:15" s="36" customFormat="1" ht="52" x14ac:dyDescent="0.35">
      <c r="A50" s="2">
        <v>21</v>
      </c>
      <c r="B50" s="7" t="s">
        <v>23</v>
      </c>
      <c r="C50" s="23" t="s">
        <v>190</v>
      </c>
      <c r="D50" s="12" t="s">
        <v>811</v>
      </c>
      <c r="E50" s="12" t="s">
        <v>812</v>
      </c>
      <c r="F50" s="37">
        <v>7.2800925925925923E-3</v>
      </c>
      <c r="G50" s="2">
        <v>10</v>
      </c>
      <c r="H50" s="7" t="s">
        <v>813</v>
      </c>
      <c r="I50" s="58" t="s">
        <v>814</v>
      </c>
      <c r="J50" s="2" t="s">
        <v>21</v>
      </c>
      <c r="K50" s="2" t="s">
        <v>624</v>
      </c>
      <c r="L50" s="2"/>
      <c r="M50" s="2"/>
      <c r="N50" s="2"/>
      <c r="O50" s="7" t="s">
        <v>815</v>
      </c>
    </row>
    <row r="51" spans="1:15" s="36" customFormat="1" ht="52" x14ac:dyDescent="0.35">
      <c r="A51" s="2">
        <v>22</v>
      </c>
      <c r="B51" s="7" t="s">
        <v>23</v>
      </c>
      <c r="C51" s="23" t="s">
        <v>190</v>
      </c>
      <c r="D51" s="12" t="s">
        <v>816</v>
      </c>
      <c r="E51" s="28" t="s">
        <v>817</v>
      </c>
      <c r="F51" s="37">
        <v>7.060185185185185E-3</v>
      </c>
      <c r="G51" s="2">
        <v>10</v>
      </c>
      <c r="H51" s="7" t="s">
        <v>818</v>
      </c>
      <c r="I51" s="58" t="s">
        <v>814</v>
      </c>
      <c r="J51" s="2" t="s">
        <v>21</v>
      </c>
      <c r="K51" s="2" t="s">
        <v>618</v>
      </c>
      <c r="L51" s="2"/>
      <c r="M51" s="2"/>
      <c r="N51" s="2"/>
      <c r="O51" s="7" t="s">
        <v>619</v>
      </c>
    </row>
    <row r="52" spans="1:15" ht="52" x14ac:dyDescent="0.3">
      <c r="A52" s="2">
        <v>23</v>
      </c>
      <c r="B52" s="7" t="s">
        <v>36</v>
      </c>
      <c r="C52" s="23" t="s">
        <v>190</v>
      </c>
      <c r="D52" s="12" t="s">
        <v>819</v>
      </c>
      <c r="E52" s="24" t="s">
        <v>820</v>
      </c>
      <c r="F52" s="25">
        <v>2.3148148148148147E-5</v>
      </c>
      <c r="G52" s="7">
        <v>0</v>
      </c>
      <c r="H52" s="7" t="s">
        <v>774</v>
      </c>
      <c r="I52" s="58" t="s">
        <v>821</v>
      </c>
      <c r="J52" s="7" t="s">
        <v>174</v>
      </c>
      <c r="K52" s="7" t="s">
        <v>618</v>
      </c>
      <c r="L52" s="7"/>
      <c r="M52" s="7"/>
      <c r="N52" s="7"/>
      <c r="O52" s="7" t="s">
        <v>776</v>
      </c>
    </row>
    <row r="53" spans="1:15" s="36" customFormat="1" ht="78" x14ac:dyDescent="0.35">
      <c r="A53" s="2">
        <v>24</v>
      </c>
      <c r="B53" s="7" t="s">
        <v>36</v>
      </c>
      <c r="C53" s="23" t="s">
        <v>190</v>
      </c>
      <c r="D53" s="12" t="s">
        <v>822</v>
      </c>
      <c r="E53" s="12" t="s">
        <v>823</v>
      </c>
      <c r="F53" s="37">
        <v>8.7962963152676821E-4</v>
      </c>
      <c r="G53" s="2">
        <v>1</v>
      </c>
      <c r="H53" s="7" t="s">
        <v>813</v>
      </c>
      <c r="I53" s="58" t="s">
        <v>824</v>
      </c>
      <c r="J53" s="2" t="s">
        <v>21</v>
      </c>
      <c r="K53" s="2" t="s">
        <v>624</v>
      </c>
      <c r="L53" s="2"/>
      <c r="M53" s="2"/>
      <c r="N53" s="2"/>
      <c r="O53" s="7" t="s">
        <v>815</v>
      </c>
    </row>
    <row r="54" spans="1:15" ht="36" x14ac:dyDescent="0.3">
      <c r="A54" s="2">
        <v>25</v>
      </c>
      <c r="B54" s="7" t="s">
        <v>23</v>
      </c>
      <c r="C54" s="23" t="s">
        <v>190</v>
      </c>
      <c r="D54" s="12" t="s">
        <v>825</v>
      </c>
      <c r="E54" s="12" t="s">
        <v>826</v>
      </c>
      <c r="F54" s="25">
        <v>1.0497685185185185E-2</v>
      </c>
      <c r="G54" s="7">
        <v>15</v>
      </c>
      <c r="H54" s="7" t="s">
        <v>827</v>
      </c>
      <c r="I54" s="58" t="s">
        <v>828</v>
      </c>
      <c r="J54" s="7" t="s">
        <v>141</v>
      </c>
      <c r="K54" s="2" t="s">
        <v>624</v>
      </c>
      <c r="L54" s="2"/>
      <c r="M54" s="2"/>
      <c r="N54" s="2"/>
      <c r="O54" s="2" t="s">
        <v>797</v>
      </c>
    </row>
    <row r="55" spans="1:15" ht="39" x14ac:dyDescent="0.3">
      <c r="A55" s="2">
        <v>26</v>
      </c>
      <c r="B55" s="7" t="s">
        <v>23</v>
      </c>
      <c r="C55" s="23" t="s">
        <v>190</v>
      </c>
      <c r="D55" s="12" t="s">
        <v>829</v>
      </c>
      <c r="E55" s="12" t="s">
        <v>830</v>
      </c>
      <c r="F55" s="25">
        <v>6.9444444444444447E-4</v>
      </c>
      <c r="G55" s="7">
        <v>1</v>
      </c>
      <c r="H55" s="7" t="s">
        <v>831</v>
      </c>
      <c r="I55" s="64" t="s">
        <v>353</v>
      </c>
      <c r="J55" s="7" t="s">
        <v>141</v>
      </c>
      <c r="K55" s="2" t="s">
        <v>624</v>
      </c>
      <c r="L55" s="2"/>
      <c r="M55" s="2"/>
      <c r="N55" s="2"/>
      <c r="O55" s="7" t="s">
        <v>832</v>
      </c>
    </row>
    <row r="56" spans="1:15" ht="39" x14ac:dyDescent="0.3">
      <c r="A56" s="2">
        <v>27</v>
      </c>
      <c r="B56" s="7" t="s">
        <v>36</v>
      </c>
      <c r="C56" s="23" t="s">
        <v>190</v>
      </c>
      <c r="D56" s="12" t="s">
        <v>833</v>
      </c>
      <c r="E56" s="12" t="s">
        <v>834</v>
      </c>
      <c r="F56" s="25">
        <v>1.2037037037037038E-3</v>
      </c>
      <c r="G56" s="7">
        <v>2</v>
      </c>
      <c r="H56" s="7" t="s">
        <v>835</v>
      </c>
      <c r="I56" s="64" t="s">
        <v>836</v>
      </c>
      <c r="J56" s="7" t="s">
        <v>141</v>
      </c>
      <c r="K56" s="7" t="s">
        <v>624</v>
      </c>
      <c r="L56" s="12"/>
      <c r="M56" s="7"/>
      <c r="N56" s="7"/>
      <c r="O56" s="2" t="s">
        <v>792</v>
      </c>
    </row>
    <row r="57" spans="1:15" ht="130" x14ac:dyDescent="0.3">
      <c r="A57" s="2">
        <v>28</v>
      </c>
      <c r="B57" s="7" t="s">
        <v>36</v>
      </c>
      <c r="C57" s="23" t="s">
        <v>190</v>
      </c>
      <c r="D57" s="12" t="s">
        <v>837</v>
      </c>
      <c r="E57" s="12" t="s">
        <v>838</v>
      </c>
      <c r="F57" s="25">
        <v>0.01</v>
      </c>
      <c r="G57" s="7">
        <v>14</v>
      </c>
      <c r="H57" s="7" t="s">
        <v>839</v>
      </c>
      <c r="I57" s="58" t="s">
        <v>840</v>
      </c>
      <c r="J57" s="7" t="s">
        <v>141</v>
      </c>
      <c r="K57" s="7" t="s">
        <v>624</v>
      </c>
      <c r="L57" s="2"/>
      <c r="M57" s="2"/>
      <c r="N57" s="2"/>
      <c r="O57" s="2" t="s">
        <v>736</v>
      </c>
    </row>
    <row r="58" spans="1:15" ht="39" x14ac:dyDescent="0.3">
      <c r="A58" s="2">
        <v>29</v>
      </c>
      <c r="B58" s="7" t="s">
        <v>23</v>
      </c>
      <c r="C58" s="23" t="s">
        <v>190</v>
      </c>
      <c r="D58" s="24" t="s">
        <v>841</v>
      </c>
      <c r="E58" s="24" t="s">
        <v>842</v>
      </c>
      <c r="F58" s="25">
        <v>2.3148148148148147E-5</v>
      </c>
      <c r="G58" s="7">
        <v>0</v>
      </c>
      <c r="H58" s="7" t="s">
        <v>843</v>
      </c>
      <c r="I58" s="58" t="s">
        <v>844</v>
      </c>
      <c r="J58" s="7" t="s">
        <v>141</v>
      </c>
      <c r="K58" s="7" t="s">
        <v>618</v>
      </c>
      <c r="L58" s="2"/>
      <c r="M58" s="2"/>
      <c r="N58" s="2"/>
      <c r="O58" s="7" t="s">
        <v>845</v>
      </c>
    </row>
    <row r="59" spans="1:15" ht="39" x14ac:dyDescent="0.3">
      <c r="A59" s="2">
        <v>30</v>
      </c>
      <c r="B59" s="7" t="s">
        <v>23</v>
      </c>
      <c r="C59" s="23" t="s">
        <v>190</v>
      </c>
      <c r="D59" s="24" t="s">
        <v>846</v>
      </c>
      <c r="E59" s="24" t="s">
        <v>847</v>
      </c>
      <c r="F59" s="25">
        <v>5.5555555555555558E-3</v>
      </c>
      <c r="G59" s="7">
        <v>8</v>
      </c>
      <c r="H59" s="7" t="s">
        <v>848</v>
      </c>
      <c r="I59" s="58" t="s">
        <v>849</v>
      </c>
      <c r="J59" s="7" t="s">
        <v>141</v>
      </c>
      <c r="K59" s="7" t="s">
        <v>624</v>
      </c>
      <c r="L59" s="2"/>
      <c r="M59" s="2"/>
      <c r="N59" s="2"/>
      <c r="O59" s="7" t="s">
        <v>815</v>
      </c>
    </row>
    <row r="60" spans="1:15" ht="26" x14ac:dyDescent="0.3">
      <c r="A60" s="2">
        <v>31</v>
      </c>
      <c r="B60" s="7" t="s">
        <v>36</v>
      </c>
      <c r="C60" s="23" t="s">
        <v>190</v>
      </c>
      <c r="D60" s="24" t="s">
        <v>850</v>
      </c>
      <c r="E60" s="24" t="s">
        <v>851</v>
      </c>
      <c r="F60" s="25">
        <v>2.7430555564933456E-3</v>
      </c>
      <c r="G60" s="7">
        <v>4</v>
      </c>
      <c r="H60" s="7" t="s">
        <v>779</v>
      </c>
      <c r="I60" s="58" t="s">
        <v>852</v>
      </c>
      <c r="J60" s="7" t="s">
        <v>21</v>
      </c>
      <c r="K60" s="7" t="s">
        <v>624</v>
      </c>
      <c r="L60" s="2"/>
      <c r="M60" s="2"/>
      <c r="N60" s="2"/>
      <c r="O60" s="7" t="s">
        <v>781</v>
      </c>
    </row>
    <row r="61" spans="1:15" ht="26" x14ac:dyDescent="0.3">
      <c r="A61" s="2">
        <v>32</v>
      </c>
      <c r="B61" s="7" t="s">
        <v>36</v>
      </c>
      <c r="C61" s="23" t="s">
        <v>190</v>
      </c>
      <c r="D61" s="24" t="s">
        <v>853</v>
      </c>
      <c r="E61" s="24" t="s">
        <v>854</v>
      </c>
      <c r="F61" s="25">
        <v>3.9027777776937E-2</v>
      </c>
      <c r="G61" s="7">
        <v>56</v>
      </c>
      <c r="H61" s="7" t="s">
        <v>855</v>
      </c>
      <c r="I61" s="58" t="s">
        <v>856</v>
      </c>
      <c r="J61" s="7" t="s">
        <v>28</v>
      </c>
      <c r="K61" s="7" t="s">
        <v>624</v>
      </c>
      <c r="L61" s="2"/>
      <c r="M61" s="2"/>
      <c r="N61" s="2"/>
      <c r="O61" s="7" t="s">
        <v>857</v>
      </c>
    </row>
    <row r="62" spans="1:15" ht="26" x14ac:dyDescent="0.3">
      <c r="A62" s="2">
        <v>33</v>
      </c>
      <c r="B62" s="7" t="s">
        <v>23</v>
      </c>
      <c r="C62" s="23" t="s">
        <v>190</v>
      </c>
      <c r="D62" s="12" t="s">
        <v>858</v>
      </c>
      <c r="E62" s="28" t="s">
        <v>859</v>
      </c>
      <c r="F62" s="37">
        <v>5.5555555555555558E-3</v>
      </c>
      <c r="G62" s="2">
        <v>8</v>
      </c>
      <c r="H62" s="7" t="s">
        <v>860</v>
      </c>
      <c r="I62" s="58" t="s">
        <v>861</v>
      </c>
      <c r="J62" s="7" t="s">
        <v>21</v>
      </c>
      <c r="K62" s="7" t="s">
        <v>618</v>
      </c>
      <c r="L62" s="46"/>
      <c r="M62" s="46"/>
      <c r="N62" s="46"/>
      <c r="O62" s="7" t="s">
        <v>619</v>
      </c>
    </row>
    <row r="63" spans="1:15" ht="52" x14ac:dyDescent="0.3">
      <c r="A63" s="2">
        <v>34</v>
      </c>
      <c r="B63" s="7" t="s">
        <v>36</v>
      </c>
      <c r="C63" s="23" t="s">
        <v>190</v>
      </c>
      <c r="D63" s="12" t="s">
        <v>862</v>
      </c>
      <c r="E63" s="12" t="s">
        <v>863</v>
      </c>
      <c r="F63" s="37">
        <v>1.3773148151813075E-2</v>
      </c>
      <c r="G63" s="7">
        <v>20</v>
      </c>
      <c r="H63" s="7" t="s">
        <v>835</v>
      </c>
      <c r="I63" s="58" t="s">
        <v>390</v>
      </c>
      <c r="J63" s="7" t="s">
        <v>302</v>
      </c>
      <c r="K63" s="7" t="s">
        <v>624</v>
      </c>
      <c r="L63" s="12"/>
      <c r="M63" s="7"/>
      <c r="N63" s="7"/>
      <c r="O63" s="7" t="s">
        <v>864</v>
      </c>
    </row>
    <row r="64" spans="1:15" ht="39" x14ac:dyDescent="0.3">
      <c r="A64" s="2">
        <v>35</v>
      </c>
      <c r="B64" s="7" t="s">
        <v>23</v>
      </c>
      <c r="C64" s="23" t="s">
        <v>190</v>
      </c>
      <c r="D64" s="12" t="s">
        <v>862</v>
      </c>
      <c r="E64" s="12" t="s">
        <v>863</v>
      </c>
      <c r="F64" s="37">
        <v>1.3773148151813075E-2</v>
      </c>
      <c r="G64" s="7">
        <v>20</v>
      </c>
      <c r="H64" s="7" t="s">
        <v>865</v>
      </c>
      <c r="I64" s="64" t="s">
        <v>390</v>
      </c>
      <c r="J64" s="7" t="s">
        <v>302</v>
      </c>
      <c r="K64" s="7" t="s">
        <v>618</v>
      </c>
      <c r="L64" s="12"/>
      <c r="M64" s="7"/>
      <c r="N64" s="7"/>
      <c r="O64" s="7" t="s">
        <v>866</v>
      </c>
    </row>
    <row r="65" spans="1:16" ht="36" x14ac:dyDescent="0.3">
      <c r="A65" s="2">
        <v>36</v>
      </c>
      <c r="B65" s="7" t="s">
        <v>23</v>
      </c>
      <c r="C65" s="23" t="s">
        <v>190</v>
      </c>
      <c r="D65" s="12" t="s">
        <v>867</v>
      </c>
      <c r="E65" s="12" t="s">
        <v>868</v>
      </c>
      <c r="F65" s="37">
        <v>2.0023148148148148E-3</v>
      </c>
      <c r="G65" s="7">
        <v>3</v>
      </c>
      <c r="H65" s="7" t="s">
        <v>869</v>
      </c>
      <c r="I65" s="58" t="s">
        <v>870</v>
      </c>
      <c r="J65" s="7" t="s">
        <v>21</v>
      </c>
      <c r="K65" s="7" t="s">
        <v>624</v>
      </c>
      <c r="L65" s="7"/>
      <c r="M65" s="7"/>
      <c r="N65" s="7"/>
      <c r="O65" s="7" t="s">
        <v>659</v>
      </c>
    </row>
    <row r="66" spans="1:16" ht="52" x14ac:dyDescent="0.3">
      <c r="A66" s="2">
        <v>37</v>
      </c>
      <c r="B66" s="7" t="s">
        <v>36</v>
      </c>
      <c r="C66" s="23" t="s">
        <v>190</v>
      </c>
      <c r="D66" s="12" t="s">
        <v>871</v>
      </c>
      <c r="E66" s="12" t="s">
        <v>872</v>
      </c>
      <c r="F66" s="37">
        <v>9.9386574074742384E-2</v>
      </c>
      <c r="G66" s="7">
        <v>0</v>
      </c>
      <c r="H66" s="7" t="s">
        <v>873</v>
      </c>
      <c r="I66" s="58" t="s">
        <v>874</v>
      </c>
      <c r="J66" s="7" t="s">
        <v>28</v>
      </c>
      <c r="K66" s="7" t="s">
        <v>624</v>
      </c>
      <c r="L66" s="7"/>
      <c r="M66" s="7"/>
      <c r="N66" s="7"/>
      <c r="O66" s="7" t="s">
        <v>875</v>
      </c>
    </row>
    <row r="67" spans="1:16" ht="52" x14ac:dyDescent="0.3">
      <c r="A67" s="2">
        <v>38</v>
      </c>
      <c r="B67" s="7" t="s">
        <v>36</v>
      </c>
      <c r="C67" s="23" t="s">
        <v>190</v>
      </c>
      <c r="D67" s="12" t="s">
        <v>871</v>
      </c>
      <c r="E67" s="12" t="s">
        <v>872</v>
      </c>
      <c r="F67" s="37">
        <v>9.9386574074742384E-2</v>
      </c>
      <c r="G67" s="7">
        <v>143</v>
      </c>
      <c r="H67" s="7" t="s">
        <v>876</v>
      </c>
      <c r="I67" s="58" t="s">
        <v>874</v>
      </c>
      <c r="J67" s="7" t="s">
        <v>28</v>
      </c>
      <c r="K67" s="7" t="s">
        <v>624</v>
      </c>
      <c r="L67" s="7"/>
      <c r="M67" s="7"/>
      <c r="N67" s="7"/>
      <c r="O67" s="7" t="s">
        <v>877</v>
      </c>
    </row>
    <row r="68" spans="1:16" ht="39" x14ac:dyDescent="0.3">
      <c r="A68" s="2">
        <v>1</v>
      </c>
      <c r="B68" s="7" t="s">
        <v>23</v>
      </c>
      <c r="C68" s="23" t="s">
        <v>395</v>
      </c>
      <c r="D68" s="24" t="s">
        <v>878</v>
      </c>
      <c r="E68" s="24" t="s">
        <v>879</v>
      </c>
      <c r="F68" s="25">
        <v>5.1504629591363482E-3</v>
      </c>
      <c r="G68" s="2">
        <v>7</v>
      </c>
      <c r="H68" s="7" t="s">
        <v>880</v>
      </c>
      <c r="I68" s="58" t="s">
        <v>881</v>
      </c>
      <c r="J68" s="7" t="s">
        <v>21</v>
      </c>
      <c r="K68" s="7" t="s">
        <v>618</v>
      </c>
      <c r="L68" s="46"/>
      <c r="M68" s="46"/>
      <c r="N68" s="46"/>
      <c r="O68" s="7" t="s">
        <v>619</v>
      </c>
    </row>
    <row r="69" spans="1:16" ht="52" x14ac:dyDescent="0.3">
      <c r="A69" s="2">
        <v>2</v>
      </c>
      <c r="B69" s="7" t="s">
        <v>36</v>
      </c>
      <c r="C69" s="41" t="s">
        <v>395</v>
      </c>
      <c r="D69" s="24" t="s">
        <v>882</v>
      </c>
      <c r="E69" s="24" t="s">
        <v>883</v>
      </c>
      <c r="F69" s="42">
        <v>1.8101851848769002E-2</v>
      </c>
      <c r="G69" s="12">
        <v>26</v>
      </c>
      <c r="H69" s="7" t="s">
        <v>884</v>
      </c>
      <c r="I69" s="58" t="s">
        <v>885</v>
      </c>
      <c r="J69" s="7" t="s">
        <v>28</v>
      </c>
      <c r="K69" s="7" t="s">
        <v>624</v>
      </c>
      <c r="L69" s="2"/>
      <c r="M69" s="2"/>
      <c r="N69" s="2"/>
      <c r="O69" s="7" t="s">
        <v>857</v>
      </c>
    </row>
    <row r="70" spans="1:16" ht="39" x14ac:dyDescent="0.3">
      <c r="A70" s="2">
        <v>3</v>
      </c>
      <c r="B70" s="7" t="s">
        <v>36</v>
      </c>
      <c r="C70" s="23" t="s">
        <v>395</v>
      </c>
      <c r="D70" s="24" t="s">
        <v>886</v>
      </c>
      <c r="E70" s="24" t="s">
        <v>887</v>
      </c>
      <c r="F70" s="25">
        <v>1.1574076779652387E-5</v>
      </c>
      <c r="G70" s="7">
        <v>0</v>
      </c>
      <c r="H70" s="7" t="s">
        <v>633</v>
      </c>
      <c r="I70" s="58" t="s">
        <v>888</v>
      </c>
      <c r="J70" s="7" t="s">
        <v>174</v>
      </c>
      <c r="K70" s="7" t="s">
        <v>618</v>
      </c>
      <c r="L70" s="7"/>
      <c r="M70" s="7"/>
      <c r="N70" s="7"/>
      <c r="O70" s="7">
        <v>22010058815</v>
      </c>
    </row>
    <row r="71" spans="1:16" ht="39" x14ac:dyDescent="0.3">
      <c r="A71" s="2">
        <v>4</v>
      </c>
      <c r="B71" s="7" t="s">
        <v>36</v>
      </c>
      <c r="C71" s="23" t="s">
        <v>395</v>
      </c>
      <c r="D71" s="24" t="s">
        <v>889</v>
      </c>
      <c r="E71" s="24" t="s">
        <v>890</v>
      </c>
      <c r="F71" s="25">
        <v>3.0092592592592595E-4</v>
      </c>
      <c r="G71" s="7">
        <v>0</v>
      </c>
      <c r="H71" s="7" t="s">
        <v>633</v>
      </c>
      <c r="I71" s="58" t="s">
        <v>891</v>
      </c>
      <c r="J71" s="7" t="s">
        <v>174</v>
      </c>
      <c r="K71" s="7" t="s">
        <v>618</v>
      </c>
      <c r="L71" s="7"/>
      <c r="M71" s="7"/>
      <c r="N71" s="7"/>
      <c r="O71" s="23" t="s">
        <v>892</v>
      </c>
    </row>
    <row r="72" spans="1:16" ht="60" x14ac:dyDescent="0.3">
      <c r="A72" s="2">
        <v>5</v>
      </c>
      <c r="B72" s="7" t="s">
        <v>23</v>
      </c>
      <c r="C72" s="23" t="s">
        <v>395</v>
      </c>
      <c r="D72" s="24" t="s">
        <v>893</v>
      </c>
      <c r="E72" s="24" t="s">
        <v>894</v>
      </c>
      <c r="F72" s="25">
        <v>4.1666666666666669E-4</v>
      </c>
      <c r="G72" s="7">
        <v>1</v>
      </c>
      <c r="H72" s="7" t="s">
        <v>869</v>
      </c>
      <c r="I72" s="58" t="s">
        <v>895</v>
      </c>
      <c r="J72" s="7" t="s">
        <v>21</v>
      </c>
      <c r="K72" s="7" t="s">
        <v>624</v>
      </c>
      <c r="L72" s="7"/>
      <c r="M72" s="7"/>
      <c r="N72" s="7"/>
      <c r="O72" s="7" t="s">
        <v>659</v>
      </c>
    </row>
    <row r="73" spans="1:16" ht="105.65" customHeight="1" x14ac:dyDescent="0.3">
      <c r="A73" s="2">
        <v>6</v>
      </c>
      <c r="B73" s="7" t="s">
        <v>36</v>
      </c>
      <c r="C73" s="23" t="s">
        <v>395</v>
      </c>
      <c r="D73" s="24" t="s">
        <v>896</v>
      </c>
      <c r="E73" s="24" t="s">
        <v>897</v>
      </c>
      <c r="F73" s="25">
        <v>1.8171296296296297E-3</v>
      </c>
      <c r="G73" s="7">
        <v>3</v>
      </c>
      <c r="H73" s="7" t="s">
        <v>633</v>
      </c>
      <c r="I73" s="58" t="s">
        <v>898</v>
      </c>
      <c r="J73" s="7" t="s">
        <v>174</v>
      </c>
      <c r="K73" s="7" t="s">
        <v>618</v>
      </c>
      <c r="L73" s="7"/>
      <c r="M73" s="7"/>
      <c r="N73" s="7"/>
      <c r="O73" s="7">
        <v>22010058815</v>
      </c>
    </row>
    <row r="74" spans="1:16" ht="72" x14ac:dyDescent="0.3">
      <c r="A74" s="2">
        <v>7</v>
      </c>
      <c r="B74" s="7" t="s">
        <v>23</v>
      </c>
      <c r="C74" s="23" t="s">
        <v>395</v>
      </c>
      <c r="D74" s="24" t="s">
        <v>899</v>
      </c>
      <c r="E74" s="24" t="s">
        <v>900</v>
      </c>
      <c r="F74" s="25">
        <v>6.4583333333333333E-3</v>
      </c>
      <c r="G74" s="7">
        <v>9</v>
      </c>
      <c r="H74" s="7" t="s">
        <v>869</v>
      </c>
      <c r="I74" s="58" t="s">
        <v>901</v>
      </c>
      <c r="J74" s="7" t="s">
        <v>21</v>
      </c>
      <c r="K74" s="7" t="s">
        <v>624</v>
      </c>
      <c r="L74" s="7"/>
      <c r="M74" s="7"/>
      <c r="N74" s="7"/>
      <c r="O74" s="7" t="s">
        <v>902</v>
      </c>
    </row>
    <row r="75" spans="1:16" ht="26" x14ac:dyDescent="0.3">
      <c r="A75" s="2">
        <v>8</v>
      </c>
      <c r="B75" s="7" t="s">
        <v>36</v>
      </c>
      <c r="C75" s="23" t="s">
        <v>395</v>
      </c>
      <c r="D75" s="24" t="s">
        <v>903</v>
      </c>
      <c r="E75" s="24" t="s">
        <v>904</v>
      </c>
      <c r="F75" s="25">
        <v>3.4722222222222222E-5</v>
      </c>
      <c r="G75" s="7">
        <v>0</v>
      </c>
      <c r="H75" s="7" t="s">
        <v>633</v>
      </c>
      <c r="I75" s="58" t="s">
        <v>905</v>
      </c>
      <c r="J75" s="7" t="s">
        <v>174</v>
      </c>
      <c r="K75" s="7" t="s">
        <v>618</v>
      </c>
      <c r="L75" s="7"/>
      <c r="M75" s="7"/>
      <c r="N75" s="7"/>
      <c r="O75" s="7">
        <v>22010058815</v>
      </c>
    </row>
    <row r="76" spans="1:16" ht="52" x14ac:dyDescent="0.3">
      <c r="A76" s="2">
        <v>9</v>
      </c>
      <c r="B76" s="7" t="s">
        <v>23</v>
      </c>
      <c r="C76" s="23" t="s">
        <v>395</v>
      </c>
      <c r="D76" s="24" t="s">
        <v>906</v>
      </c>
      <c r="E76" s="24" t="s">
        <v>907</v>
      </c>
      <c r="F76" s="25">
        <v>1.261574074074074E-3</v>
      </c>
      <c r="G76" s="7">
        <v>2</v>
      </c>
      <c r="H76" s="7" t="s">
        <v>679</v>
      </c>
      <c r="I76" s="58" t="s">
        <v>908</v>
      </c>
      <c r="J76" s="7" t="s">
        <v>21</v>
      </c>
      <c r="K76" s="7" t="s">
        <v>624</v>
      </c>
      <c r="L76" s="7"/>
      <c r="M76" s="7"/>
      <c r="N76" s="7"/>
      <c r="O76" s="7" t="s">
        <v>681</v>
      </c>
    </row>
    <row r="77" spans="1:16" ht="24" x14ac:dyDescent="0.3">
      <c r="A77" s="2">
        <v>10</v>
      </c>
      <c r="B77" s="7" t="s">
        <v>36</v>
      </c>
      <c r="C77" s="23" t="s">
        <v>395</v>
      </c>
      <c r="D77" s="24" t="s">
        <v>909</v>
      </c>
      <c r="E77" s="24" t="s">
        <v>910</v>
      </c>
      <c r="F77" s="25">
        <v>5.7986111132777296E-3</v>
      </c>
      <c r="G77" s="7">
        <v>8</v>
      </c>
      <c r="H77" s="7" t="s">
        <v>911</v>
      </c>
      <c r="I77" s="58" t="s">
        <v>912</v>
      </c>
      <c r="J77" s="7" t="s">
        <v>302</v>
      </c>
      <c r="K77" s="7" t="s">
        <v>624</v>
      </c>
      <c r="L77" s="7"/>
      <c r="M77" s="7"/>
      <c r="N77" s="7"/>
      <c r="O77" s="7" t="s">
        <v>913</v>
      </c>
    </row>
    <row r="78" spans="1:16" ht="39" x14ac:dyDescent="0.3">
      <c r="A78" s="2">
        <v>11</v>
      </c>
      <c r="B78" s="7" t="s">
        <v>36</v>
      </c>
      <c r="C78" s="23" t="s">
        <v>395</v>
      </c>
      <c r="D78" s="24" t="s">
        <v>914</v>
      </c>
      <c r="E78" s="24" t="s">
        <v>915</v>
      </c>
      <c r="F78" s="25">
        <v>2.314814628334716E-5</v>
      </c>
      <c r="G78" s="7">
        <v>0</v>
      </c>
      <c r="H78" s="7" t="s">
        <v>633</v>
      </c>
      <c r="I78" s="58" t="s">
        <v>916</v>
      </c>
      <c r="J78" s="7" t="s">
        <v>174</v>
      </c>
      <c r="K78" s="7" t="s">
        <v>618</v>
      </c>
      <c r="L78" s="7"/>
      <c r="M78" s="7"/>
      <c r="N78" s="7"/>
      <c r="O78" s="7">
        <v>22010058815</v>
      </c>
    </row>
    <row r="79" spans="1:16" s="32" customFormat="1" ht="52" x14ac:dyDescent="0.35">
      <c r="A79" s="2">
        <v>12</v>
      </c>
      <c r="B79" s="7" t="s">
        <v>23</v>
      </c>
      <c r="C79" s="23" t="s">
        <v>395</v>
      </c>
      <c r="D79" s="24" t="s">
        <v>917</v>
      </c>
      <c r="E79" s="24" t="s">
        <v>918</v>
      </c>
      <c r="F79" s="25">
        <v>1.1226851856918074E-3</v>
      </c>
      <c r="G79" s="2">
        <v>2</v>
      </c>
      <c r="H79" s="7" t="s">
        <v>919</v>
      </c>
      <c r="I79" s="58" t="s">
        <v>920</v>
      </c>
      <c r="J79" s="2" t="s">
        <v>21</v>
      </c>
      <c r="K79" s="2" t="s">
        <v>618</v>
      </c>
      <c r="L79" s="2"/>
      <c r="M79" s="2"/>
      <c r="N79" s="2"/>
      <c r="O79" s="7" t="s">
        <v>921</v>
      </c>
      <c r="P79" s="44"/>
    </row>
    <row r="80" spans="1:16" s="32" customFormat="1" ht="36" x14ac:dyDescent="0.35">
      <c r="A80" s="2">
        <v>13</v>
      </c>
      <c r="B80" s="7" t="s">
        <v>36</v>
      </c>
      <c r="C80" s="23" t="s">
        <v>395</v>
      </c>
      <c r="D80" s="24" t="s">
        <v>922</v>
      </c>
      <c r="E80" s="24" t="s">
        <v>923</v>
      </c>
      <c r="F80" s="25">
        <v>2.4328703703703703E-2</v>
      </c>
      <c r="G80" s="26">
        <v>35</v>
      </c>
      <c r="H80" s="7" t="s">
        <v>924</v>
      </c>
      <c r="I80" s="58" t="s">
        <v>925</v>
      </c>
      <c r="J80" s="2" t="s">
        <v>148</v>
      </c>
      <c r="K80" s="2" t="s">
        <v>618</v>
      </c>
      <c r="L80" s="2"/>
      <c r="M80" s="2"/>
      <c r="N80" s="2"/>
      <c r="O80" s="7" t="s">
        <v>654</v>
      </c>
      <c r="P80" s="44"/>
    </row>
    <row r="81" spans="1:16" ht="52" x14ac:dyDescent="0.3">
      <c r="A81" s="2">
        <v>14</v>
      </c>
      <c r="B81" s="7" t="s">
        <v>36</v>
      </c>
      <c r="C81" s="23" t="s">
        <v>395</v>
      </c>
      <c r="D81" s="24" t="s">
        <v>926</v>
      </c>
      <c r="E81" s="24" t="s">
        <v>927</v>
      </c>
      <c r="F81" s="25">
        <v>1.1574076779652387E-5</v>
      </c>
      <c r="G81" s="7">
        <v>0</v>
      </c>
      <c r="H81" s="7" t="s">
        <v>633</v>
      </c>
      <c r="I81" s="58" t="s">
        <v>928</v>
      </c>
      <c r="J81" s="7" t="s">
        <v>174</v>
      </c>
      <c r="K81" s="7" t="s">
        <v>618</v>
      </c>
      <c r="L81" s="7"/>
      <c r="M81" s="7"/>
      <c r="N81" s="7"/>
      <c r="O81" s="7">
        <v>22010058815</v>
      </c>
    </row>
    <row r="82" spans="1:16" s="32" customFormat="1" ht="39" x14ac:dyDescent="0.35">
      <c r="A82" s="2">
        <v>15</v>
      </c>
      <c r="B82" s="7" t="s">
        <v>23</v>
      </c>
      <c r="C82" s="23" t="s">
        <v>395</v>
      </c>
      <c r="D82" s="24" t="s">
        <v>929</v>
      </c>
      <c r="E82" s="24" t="s">
        <v>930</v>
      </c>
      <c r="F82" s="25">
        <v>1.4120370324235409E-3</v>
      </c>
      <c r="G82" s="26">
        <v>2</v>
      </c>
      <c r="H82" s="7" t="s">
        <v>931</v>
      </c>
      <c r="I82" s="58" t="s">
        <v>1059</v>
      </c>
      <c r="J82" s="2" t="s">
        <v>148</v>
      </c>
      <c r="K82" s="2" t="s">
        <v>618</v>
      </c>
      <c r="L82" s="2"/>
      <c r="M82" s="2"/>
      <c r="N82" s="2"/>
      <c r="O82" s="7" t="s">
        <v>932</v>
      </c>
      <c r="P82" s="44"/>
    </row>
    <row r="83" spans="1:16" ht="104" x14ac:dyDescent="0.3">
      <c r="A83" s="2">
        <v>16</v>
      </c>
      <c r="B83" s="7" t="s">
        <v>36</v>
      </c>
      <c r="C83" s="23" t="s">
        <v>395</v>
      </c>
      <c r="D83" s="24" t="s">
        <v>933</v>
      </c>
      <c r="E83" s="24" t="s">
        <v>934</v>
      </c>
      <c r="F83" s="25">
        <v>1.5046296296296297E-4</v>
      </c>
      <c r="G83" s="7">
        <v>0</v>
      </c>
      <c r="H83" s="7" t="s">
        <v>633</v>
      </c>
      <c r="I83" s="58" t="s">
        <v>935</v>
      </c>
      <c r="J83" s="7" t="s">
        <v>174</v>
      </c>
      <c r="K83" s="7" t="s">
        <v>618</v>
      </c>
      <c r="L83" s="7"/>
      <c r="M83" s="7"/>
      <c r="N83" s="7"/>
      <c r="O83" s="7">
        <v>22010058815</v>
      </c>
    </row>
    <row r="84" spans="1:16" ht="65" x14ac:dyDescent="0.3">
      <c r="A84" s="2">
        <v>17</v>
      </c>
      <c r="B84" s="7" t="s">
        <v>23</v>
      </c>
      <c r="C84" s="23" t="s">
        <v>395</v>
      </c>
      <c r="D84" s="7" t="s">
        <v>936</v>
      </c>
      <c r="E84" s="7" t="s">
        <v>937</v>
      </c>
      <c r="F84" s="45">
        <v>8.217592621804215E-4</v>
      </c>
      <c r="G84" s="7">
        <v>1</v>
      </c>
      <c r="H84" s="7" t="s">
        <v>938</v>
      </c>
      <c r="I84" s="58" t="s">
        <v>939</v>
      </c>
      <c r="J84" s="7" t="s">
        <v>21</v>
      </c>
      <c r="K84" s="7" t="s">
        <v>624</v>
      </c>
      <c r="L84" s="7"/>
      <c r="M84" s="7"/>
      <c r="N84" s="7"/>
      <c r="O84" s="7" t="s">
        <v>940</v>
      </c>
    </row>
    <row r="85" spans="1:16" ht="52" x14ac:dyDescent="0.3">
      <c r="A85" s="2">
        <v>18</v>
      </c>
      <c r="B85" s="7" t="s">
        <v>23</v>
      </c>
      <c r="C85" s="23" t="s">
        <v>395</v>
      </c>
      <c r="D85" s="24" t="s">
        <v>941</v>
      </c>
      <c r="E85" s="24" t="s">
        <v>942</v>
      </c>
      <c r="F85" s="25">
        <v>1.3888888934161514E-3</v>
      </c>
      <c r="G85" s="7">
        <v>2</v>
      </c>
      <c r="H85" s="7" t="s">
        <v>943</v>
      </c>
      <c r="I85" s="58" t="s">
        <v>944</v>
      </c>
      <c r="J85" s="7" t="s">
        <v>21</v>
      </c>
      <c r="K85" s="7" t="s">
        <v>618</v>
      </c>
      <c r="L85" s="7"/>
      <c r="M85" s="7"/>
      <c r="N85" s="7"/>
      <c r="O85" s="7" t="s">
        <v>945</v>
      </c>
    </row>
    <row r="86" spans="1:16" ht="36" x14ac:dyDescent="0.3">
      <c r="A86" s="2">
        <v>19</v>
      </c>
      <c r="B86" s="7" t="s">
        <v>23</v>
      </c>
      <c r="C86" s="23" t="s">
        <v>395</v>
      </c>
      <c r="D86" s="24" t="s">
        <v>946</v>
      </c>
      <c r="E86" s="24" t="s">
        <v>947</v>
      </c>
      <c r="F86" s="25">
        <v>3.4722222222222222E-5</v>
      </c>
      <c r="G86" s="7">
        <v>0</v>
      </c>
      <c r="H86" s="7" t="s">
        <v>679</v>
      </c>
      <c r="I86" s="58" t="s">
        <v>948</v>
      </c>
      <c r="J86" s="7" t="s">
        <v>21</v>
      </c>
      <c r="K86" s="7" t="s">
        <v>624</v>
      </c>
      <c r="L86" s="7"/>
      <c r="M86" s="7"/>
      <c r="N86" s="7"/>
      <c r="O86" s="7" t="s">
        <v>681</v>
      </c>
    </row>
    <row r="87" spans="1:16" ht="39" x14ac:dyDescent="0.3">
      <c r="A87" s="2">
        <v>20</v>
      </c>
      <c r="B87" s="7" t="s">
        <v>36</v>
      </c>
      <c r="C87" s="23" t="s">
        <v>395</v>
      </c>
      <c r="D87" s="24" t="s">
        <v>949</v>
      </c>
      <c r="E87" s="24" t="s">
        <v>950</v>
      </c>
      <c r="F87" s="47">
        <v>7.8472222157870419E-3</v>
      </c>
      <c r="G87" s="7">
        <v>11</v>
      </c>
      <c r="H87" s="7" t="s">
        <v>951</v>
      </c>
      <c r="I87" s="58" t="s">
        <v>952</v>
      </c>
      <c r="J87" s="7" t="s">
        <v>141</v>
      </c>
      <c r="K87" s="2" t="s">
        <v>624</v>
      </c>
      <c r="L87" s="2"/>
      <c r="M87" s="2"/>
      <c r="N87" s="2"/>
      <c r="O87" s="2" t="s">
        <v>797</v>
      </c>
    </row>
    <row r="88" spans="1:16" ht="26" x14ac:dyDescent="0.3">
      <c r="A88" s="2">
        <v>21</v>
      </c>
      <c r="B88" s="7" t="s">
        <v>23</v>
      </c>
      <c r="C88" s="23" t="s">
        <v>395</v>
      </c>
      <c r="D88" s="24" t="s">
        <v>953</v>
      </c>
      <c r="E88" s="24" t="s">
        <v>954</v>
      </c>
      <c r="F88" s="25">
        <v>1.0185185237787664E-3</v>
      </c>
      <c r="G88" s="7">
        <v>1</v>
      </c>
      <c r="H88" s="7" t="s">
        <v>679</v>
      </c>
      <c r="I88" s="58" t="s">
        <v>955</v>
      </c>
      <c r="J88" s="7" t="s">
        <v>21</v>
      </c>
      <c r="K88" s="7" t="s">
        <v>624</v>
      </c>
      <c r="L88" s="7"/>
      <c r="M88" s="7"/>
      <c r="N88" s="7"/>
      <c r="O88" s="7" t="s">
        <v>681</v>
      </c>
    </row>
    <row r="89" spans="1:16" ht="24" x14ac:dyDescent="0.3">
      <c r="A89" s="2">
        <v>22</v>
      </c>
      <c r="B89" s="7" t="s">
        <v>36</v>
      </c>
      <c r="C89" s="23" t="s">
        <v>395</v>
      </c>
      <c r="D89" s="24" t="s">
        <v>956</v>
      </c>
      <c r="E89" s="24" t="s">
        <v>957</v>
      </c>
      <c r="F89" s="25">
        <v>1.1574076779652387E-5</v>
      </c>
      <c r="G89" s="7">
        <v>0</v>
      </c>
      <c r="H89" s="7" t="s">
        <v>958</v>
      </c>
      <c r="I89" s="58" t="s">
        <v>959</v>
      </c>
      <c r="J89" s="7" t="s">
        <v>174</v>
      </c>
      <c r="K89" s="7" t="s">
        <v>618</v>
      </c>
      <c r="L89" s="7"/>
      <c r="M89" s="7"/>
      <c r="N89" s="7"/>
      <c r="O89" s="7" t="s">
        <v>960</v>
      </c>
    </row>
    <row r="90" spans="1:16" ht="26" x14ac:dyDescent="0.3">
      <c r="A90" s="2">
        <v>23</v>
      </c>
      <c r="B90" s="7" t="s">
        <v>23</v>
      </c>
      <c r="C90" s="23" t="s">
        <v>395</v>
      </c>
      <c r="D90" s="24" t="s">
        <v>961</v>
      </c>
      <c r="E90" s="24" t="s">
        <v>962</v>
      </c>
      <c r="F90" s="25">
        <v>5.4398147767642513E-4</v>
      </c>
      <c r="G90" s="7">
        <v>1</v>
      </c>
      <c r="H90" s="7" t="s">
        <v>869</v>
      </c>
      <c r="I90" s="58" t="s">
        <v>963</v>
      </c>
      <c r="J90" s="7" t="s">
        <v>21</v>
      </c>
      <c r="K90" s="7" t="s">
        <v>624</v>
      </c>
      <c r="L90" s="7"/>
      <c r="M90" s="7"/>
      <c r="N90" s="7"/>
      <c r="O90" s="7" t="s">
        <v>659</v>
      </c>
    </row>
    <row r="91" spans="1:16" ht="52" x14ac:dyDescent="0.3">
      <c r="A91" s="2">
        <v>24</v>
      </c>
      <c r="B91" s="7" t="s">
        <v>23</v>
      </c>
      <c r="C91" s="23" t="s">
        <v>395</v>
      </c>
      <c r="D91" s="24" t="s">
        <v>964</v>
      </c>
      <c r="E91" s="24" t="s">
        <v>965</v>
      </c>
      <c r="F91" s="25">
        <v>4.6296299842651933E-5</v>
      </c>
      <c r="G91" s="7">
        <v>0</v>
      </c>
      <c r="H91" s="7" t="s">
        <v>843</v>
      </c>
      <c r="I91" s="58" t="s">
        <v>966</v>
      </c>
      <c r="J91" s="7" t="s">
        <v>21</v>
      </c>
      <c r="K91" s="7" t="s">
        <v>618</v>
      </c>
      <c r="L91" s="2"/>
      <c r="M91" s="2"/>
      <c r="N91" s="2"/>
      <c r="O91" s="7" t="s">
        <v>921</v>
      </c>
    </row>
    <row r="92" spans="1:16" ht="48" x14ac:dyDescent="0.3">
      <c r="A92" s="2">
        <v>25</v>
      </c>
      <c r="B92" s="7" t="s">
        <v>23</v>
      </c>
      <c r="C92" s="23" t="s">
        <v>395</v>
      </c>
      <c r="D92" s="24" t="s">
        <v>967</v>
      </c>
      <c r="E92" s="24" t="s">
        <v>968</v>
      </c>
      <c r="F92" s="25">
        <v>3.9351851851851852E-4</v>
      </c>
      <c r="G92" s="7">
        <v>1</v>
      </c>
      <c r="H92" s="7" t="s">
        <v>679</v>
      </c>
      <c r="I92" s="58" t="s">
        <v>969</v>
      </c>
      <c r="J92" s="7" t="s">
        <v>21</v>
      </c>
      <c r="K92" s="7" t="s">
        <v>624</v>
      </c>
      <c r="L92" s="7"/>
      <c r="M92" s="7"/>
      <c r="N92" s="7"/>
      <c r="O92" s="7" t="s">
        <v>681</v>
      </c>
    </row>
    <row r="93" spans="1:16" ht="26" x14ac:dyDescent="0.3">
      <c r="A93" s="2">
        <v>26</v>
      </c>
      <c r="B93" s="7" t="s">
        <v>23</v>
      </c>
      <c r="C93" s="23" t="s">
        <v>395</v>
      </c>
      <c r="D93" s="24" t="s">
        <v>970</v>
      </c>
      <c r="E93" s="24" t="s">
        <v>971</v>
      </c>
      <c r="F93" s="25">
        <v>9.6064815443241969E-4</v>
      </c>
      <c r="G93" s="7">
        <v>1</v>
      </c>
      <c r="H93" s="7" t="s">
        <v>679</v>
      </c>
      <c r="I93" s="58" t="s">
        <v>972</v>
      </c>
      <c r="J93" s="7" t="s">
        <v>21</v>
      </c>
      <c r="K93" s="7" t="s">
        <v>624</v>
      </c>
      <c r="L93" s="7"/>
      <c r="M93" s="7"/>
      <c r="N93" s="7"/>
      <c r="O93" s="7" t="s">
        <v>681</v>
      </c>
    </row>
    <row r="94" spans="1:16" ht="39" x14ac:dyDescent="0.3">
      <c r="A94" s="2">
        <v>27</v>
      </c>
      <c r="B94" s="7" t="s">
        <v>36</v>
      </c>
      <c r="C94" s="23" t="s">
        <v>395</v>
      </c>
      <c r="D94" s="24" t="s">
        <v>973</v>
      </c>
      <c r="E94" s="24" t="s">
        <v>1373</v>
      </c>
      <c r="F94" s="71">
        <v>40.723611111111111</v>
      </c>
      <c r="G94" s="70">
        <v>58642</v>
      </c>
      <c r="H94" s="7" t="s">
        <v>974</v>
      </c>
      <c r="I94" s="58" t="s">
        <v>975</v>
      </c>
      <c r="J94" s="7" t="s">
        <v>174</v>
      </c>
      <c r="K94" s="7" t="s">
        <v>624</v>
      </c>
      <c r="L94" s="7"/>
      <c r="M94" s="7"/>
      <c r="N94" s="7"/>
      <c r="O94" s="7" t="s">
        <v>976</v>
      </c>
    </row>
    <row r="95" spans="1:16" s="32" customFormat="1" ht="52" x14ac:dyDescent="0.35">
      <c r="A95" s="2">
        <v>1</v>
      </c>
      <c r="B95" s="7" t="s">
        <v>36</v>
      </c>
      <c r="C95" s="23" t="s">
        <v>523</v>
      </c>
      <c r="D95" s="24" t="s">
        <v>977</v>
      </c>
      <c r="E95" s="24" t="s">
        <v>978</v>
      </c>
      <c r="F95" s="25">
        <v>1.3194444400141947E-3</v>
      </c>
      <c r="G95" s="26">
        <v>2</v>
      </c>
      <c r="H95" s="7" t="s">
        <v>924</v>
      </c>
      <c r="I95" s="58" t="s">
        <v>979</v>
      </c>
      <c r="J95" s="2" t="s">
        <v>21</v>
      </c>
      <c r="K95" s="2" t="s">
        <v>618</v>
      </c>
      <c r="L95" s="2"/>
      <c r="M95" s="2"/>
      <c r="N95" s="2"/>
      <c r="O95" s="7" t="s">
        <v>654</v>
      </c>
      <c r="P95" s="44"/>
    </row>
    <row r="96" spans="1:16" ht="26" x14ac:dyDescent="0.3">
      <c r="A96" s="2">
        <v>2</v>
      </c>
      <c r="B96" s="7" t="s">
        <v>36</v>
      </c>
      <c r="C96" s="23" t="s">
        <v>523</v>
      </c>
      <c r="D96" s="24" t="s">
        <v>980</v>
      </c>
      <c r="E96" s="24" t="s">
        <v>981</v>
      </c>
      <c r="F96" s="25">
        <v>0.64317129630217096</v>
      </c>
      <c r="G96" s="7">
        <v>0</v>
      </c>
      <c r="H96" s="7" t="s">
        <v>982</v>
      </c>
      <c r="I96" s="65" t="s">
        <v>983</v>
      </c>
      <c r="J96" s="7" t="s">
        <v>174</v>
      </c>
      <c r="K96" s="7" t="s">
        <v>624</v>
      </c>
      <c r="L96" s="7"/>
      <c r="M96" s="7"/>
      <c r="N96" s="7"/>
      <c r="O96" s="7" t="s">
        <v>984</v>
      </c>
    </row>
    <row r="97" spans="1:15" ht="26" x14ac:dyDescent="0.3">
      <c r="A97" s="2">
        <v>3</v>
      </c>
      <c r="B97" s="7" t="s">
        <v>23</v>
      </c>
      <c r="C97" s="23" t="s">
        <v>523</v>
      </c>
      <c r="D97" s="24" t="s">
        <v>985</v>
      </c>
      <c r="E97" s="24" t="s">
        <v>986</v>
      </c>
      <c r="F97" s="25">
        <v>2.3148153559304774E-5</v>
      </c>
      <c r="G97" s="7">
        <v>0</v>
      </c>
      <c r="H97" s="7" t="s">
        <v>679</v>
      </c>
      <c r="I97" s="58" t="s">
        <v>987</v>
      </c>
      <c r="J97" s="7" t="s">
        <v>21</v>
      </c>
      <c r="K97" s="7" t="s">
        <v>624</v>
      </c>
      <c r="L97" s="7"/>
      <c r="M97" s="7"/>
      <c r="N97" s="7"/>
      <c r="O97" s="7" t="s">
        <v>681</v>
      </c>
    </row>
    <row r="98" spans="1:15" ht="91" x14ac:dyDescent="0.3">
      <c r="A98" s="2">
        <v>4</v>
      </c>
      <c r="B98" s="7" t="s">
        <v>15</v>
      </c>
      <c r="C98" s="23" t="s">
        <v>523</v>
      </c>
      <c r="D98" s="24" t="s">
        <v>988</v>
      </c>
      <c r="E98" s="24" t="s">
        <v>989</v>
      </c>
      <c r="F98" s="25">
        <v>1.4467592627624981E-3</v>
      </c>
      <c r="G98" s="26">
        <v>2</v>
      </c>
      <c r="H98" s="7" t="s">
        <v>990</v>
      </c>
      <c r="I98" s="58" t="s">
        <v>991</v>
      </c>
      <c r="J98" s="7" t="s">
        <v>21</v>
      </c>
      <c r="K98" s="7" t="s">
        <v>618</v>
      </c>
      <c r="L98" s="7"/>
      <c r="M98" s="7"/>
      <c r="N98" s="7"/>
      <c r="O98" s="7" t="s">
        <v>992</v>
      </c>
    </row>
    <row r="99" spans="1:15" ht="39" x14ac:dyDescent="0.3">
      <c r="A99" s="2">
        <v>5</v>
      </c>
      <c r="B99" s="7" t="s">
        <v>36</v>
      </c>
      <c r="C99" s="23" t="s">
        <v>523</v>
      </c>
      <c r="D99" s="24" t="s">
        <v>993</v>
      </c>
      <c r="E99" s="24" t="s">
        <v>994</v>
      </c>
      <c r="F99" s="25">
        <v>4.7453703155042604E-4</v>
      </c>
      <c r="G99" s="7">
        <v>1</v>
      </c>
      <c r="H99" s="7" t="s">
        <v>633</v>
      </c>
      <c r="I99" s="58" t="s">
        <v>995</v>
      </c>
      <c r="J99" s="7" t="s">
        <v>174</v>
      </c>
      <c r="K99" s="7" t="s">
        <v>618</v>
      </c>
      <c r="L99" s="7"/>
      <c r="M99" s="7"/>
      <c r="N99" s="7"/>
      <c r="O99" s="7">
        <v>22010058815</v>
      </c>
    </row>
    <row r="100" spans="1:15" ht="52" x14ac:dyDescent="0.3">
      <c r="A100" s="2">
        <v>6</v>
      </c>
      <c r="B100" s="7" t="s">
        <v>23</v>
      </c>
      <c r="C100" s="23" t="s">
        <v>523</v>
      </c>
      <c r="D100" s="24" t="s">
        <v>996</v>
      </c>
      <c r="E100" s="24" t="s">
        <v>997</v>
      </c>
      <c r="F100" s="25">
        <v>2.4305555554747116E-2</v>
      </c>
      <c r="G100" s="7">
        <v>35</v>
      </c>
      <c r="H100" s="7" t="s">
        <v>998</v>
      </c>
      <c r="I100" s="58" t="s">
        <v>999</v>
      </c>
      <c r="J100" s="7" t="s">
        <v>302</v>
      </c>
      <c r="K100" s="7" t="s">
        <v>624</v>
      </c>
      <c r="L100" s="7"/>
      <c r="M100" s="7"/>
      <c r="N100" s="7"/>
      <c r="O100" s="48" t="s">
        <v>1000</v>
      </c>
    </row>
    <row r="101" spans="1:15" ht="26" x14ac:dyDescent="0.3">
      <c r="A101" s="2">
        <v>7</v>
      </c>
      <c r="B101" s="7" t="s">
        <v>23</v>
      </c>
      <c r="C101" s="23" t="s">
        <v>523</v>
      </c>
      <c r="D101" s="24" t="s">
        <v>1001</v>
      </c>
      <c r="E101" s="24" t="s">
        <v>1002</v>
      </c>
      <c r="F101" s="25">
        <v>1.3888889225199819E-4</v>
      </c>
      <c r="G101" s="7">
        <v>0</v>
      </c>
      <c r="H101" s="7" t="s">
        <v>869</v>
      </c>
      <c r="I101" s="58" t="s">
        <v>1003</v>
      </c>
      <c r="J101" s="7" t="s">
        <v>21</v>
      </c>
      <c r="K101" s="7" t="s">
        <v>624</v>
      </c>
      <c r="L101" s="7"/>
      <c r="M101" s="7"/>
      <c r="N101" s="7"/>
      <c r="O101" s="7" t="s">
        <v>659</v>
      </c>
    </row>
    <row r="102" spans="1:15" ht="26" x14ac:dyDescent="0.3">
      <c r="A102" s="2">
        <v>8</v>
      </c>
      <c r="B102" s="7" t="s">
        <v>23</v>
      </c>
      <c r="C102" s="23" t="s">
        <v>523</v>
      </c>
      <c r="D102" s="24" t="s">
        <v>1004</v>
      </c>
      <c r="E102" s="24" t="s">
        <v>1005</v>
      </c>
      <c r="F102" s="25">
        <v>5.7870369346346706E-5</v>
      </c>
      <c r="G102" s="7">
        <v>0</v>
      </c>
      <c r="H102" s="7" t="s">
        <v>869</v>
      </c>
      <c r="I102" s="58" t="s">
        <v>1003</v>
      </c>
      <c r="J102" s="7" t="s">
        <v>21</v>
      </c>
      <c r="K102" s="7" t="s">
        <v>624</v>
      </c>
      <c r="L102" s="7"/>
      <c r="M102" s="7"/>
      <c r="N102" s="7"/>
      <c r="O102" s="7" t="s">
        <v>659</v>
      </c>
    </row>
    <row r="103" spans="1:15" ht="65" x14ac:dyDescent="0.3">
      <c r="A103" s="2">
        <v>9</v>
      </c>
      <c r="B103" s="7" t="s">
        <v>23</v>
      </c>
      <c r="C103" s="23" t="s">
        <v>523</v>
      </c>
      <c r="D103" s="24" t="s">
        <v>1006</v>
      </c>
      <c r="E103" s="24" t="s">
        <v>1007</v>
      </c>
      <c r="F103" s="25">
        <v>2.0833333110203966E-4</v>
      </c>
      <c r="G103" s="7">
        <v>0</v>
      </c>
      <c r="H103" s="7" t="s">
        <v>869</v>
      </c>
      <c r="I103" s="58" t="s">
        <v>1008</v>
      </c>
      <c r="J103" s="7" t="s">
        <v>21</v>
      </c>
      <c r="K103" s="7" t="s">
        <v>624</v>
      </c>
      <c r="L103" s="7"/>
      <c r="M103" s="7"/>
      <c r="N103" s="7"/>
      <c r="O103" s="7" t="s">
        <v>659</v>
      </c>
    </row>
    <row r="104" spans="1:15" ht="26" x14ac:dyDescent="0.3">
      <c r="A104" s="2">
        <v>10</v>
      </c>
      <c r="B104" s="7" t="s">
        <v>23</v>
      </c>
      <c r="C104" s="23" t="s">
        <v>523</v>
      </c>
      <c r="D104" s="50" t="s">
        <v>1009</v>
      </c>
      <c r="E104" s="50" t="s">
        <v>1010</v>
      </c>
      <c r="F104" s="51">
        <v>3.4722223062999547E-5</v>
      </c>
      <c r="G104" s="7">
        <v>0</v>
      </c>
      <c r="H104" s="7" t="s">
        <v>869</v>
      </c>
      <c r="I104" s="58" t="s">
        <v>1011</v>
      </c>
      <c r="J104" s="7" t="s">
        <v>21</v>
      </c>
      <c r="K104" s="7" t="s">
        <v>624</v>
      </c>
      <c r="L104" s="7"/>
      <c r="M104" s="7"/>
      <c r="N104" s="7"/>
      <c r="O104" s="7" t="s">
        <v>659</v>
      </c>
    </row>
    <row r="105" spans="1:15" ht="52" x14ac:dyDescent="0.3">
      <c r="A105" s="2">
        <v>11</v>
      </c>
      <c r="B105" s="7" t="s">
        <v>23</v>
      </c>
      <c r="C105" s="23" t="s">
        <v>523</v>
      </c>
      <c r="D105" s="24" t="s">
        <v>1012</v>
      </c>
      <c r="E105" s="24" t="s">
        <v>1013</v>
      </c>
      <c r="F105" s="25">
        <v>4.1782407424761914E-3</v>
      </c>
      <c r="G105" s="2">
        <v>6</v>
      </c>
      <c r="H105" s="7" t="s">
        <v>880</v>
      </c>
      <c r="I105" s="58" t="s">
        <v>1014</v>
      </c>
      <c r="J105" s="7" t="s">
        <v>21</v>
      </c>
      <c r="K105" s="7" t="s">
        <v>618</v>
      </c>
      <c r="L105" s="46"/>
      <c r="M105" s="46"/>
      <c r="N105" s="46"/>
      <c r="O105" s="7" t="s">
        <v>619</v>
      </c>
    </row>
    <row r="106" spans="1:15" ht="78" x14ac:dyDescent="0.3">
      <c r="A106" s="2">
        <v>12</v>
      </c>
      <c r="B106" s="7" t="s">
        <v>23</v>
      </c>
      <c r="C106" s="23" t="s">
        <v>523</v>
      </c>
      <c r="D106" s="67" t="s">
        <v>1336</v>
      </c>
      <c r="E106" s="67" t="s">
        <v>1337</v>
      </c>
      <c r="F106" s="68">
        <v>1.1909722222222223E-2</v>
      </c>
      <c r="G106" s="69">
        <v>17</v>
      </c>
      <c r="H106" s="66" t="s">
        <v>1338</v>
      </c>
      <c r="I106" s="58" t="s">
        <v>1339</v>
      </c>
      <c r="J106" s="7" t="s">
        <v>21</v>
      </c>
      <c r="K106" s="7" t="s">
        <v>624</v>
      </c>
      <c r="L106" s="46"/>
      <c r="M106" s="46"/>
      <c r="N106" s="46"/>
      <c r="O106" s="7" t="s">
        <v>1340</v>
      </c>
    </row>
    <row r="107" spans="1:15" ht="78" x14ac:dyDescent="0.3">
      <c r="A107" s="2">
        <v>13</v>
      </c>
      <c r="B107" s="7" t="s">
        <v>15</v>
      </c>
      <c r="C107" s="23" t="s">
        <v>523</v>
      </c>
      <c r="D107" s="24" t="s">
        <v>1015</v>
      </c>
      <c r="E107" s="24" t="s">
        <v>1016</v>
      </c>
      <c r="F107" s="25">
        <v>1.4236111092031933E-3</v>
      </c>
      <c r="G107" s="7">
        <v>2</v>
      </c>
      <c r="H107" s="7" t="s">
        <v>1017</v>
      </c>
      <c r="I107" s="95" t="s">
        <v>568</v>
      </c>
      <c r="J107" s="7" t="s">
        <v>21</v>
      </c>
      <c r="K107" s="7" t="s">
        <v>618</v>
      </c>
      <c r="L107" s="7"/>
      <c r="M107" s="7"/>
      <c r="N107" s="7"/>
      <c r="O107" s="7" t="s">
        <v>1018</v>
      </c>
    </row>
    <row r="108" spans="1:15" ht="26" x14ac:dyDescent="0.3">
      <c r="A108" s="2">
        <v>14</v>
      </c>
      <c r="B108" s="7" t="s">
        <v>23</v>
      </c>
      <c r="C108" s="23" t="s">
        <v>523</v>
      </c>
      <c r="D108" s="24" t="s">
        <v>1019</v>
      </c>
      <c r="E108" s="24" t="s">
        <v>1020</v>
      </c>
      <c r="F108" s="25">
        <v>8.1018515629693866E-5</v>
      </c>
      <c r="G108" s="7">
        <v>0</v>
      </c>
      <c r="H108" s="7" t="s">
        <v>679</v>
      </c>
      <c r="I108" s="58" t="s">
        <v>1021</v>
      </c>
      <c r="J108" s="7" t="s">
        <v>21</v>
      </c>
      <c r="K108" s="7" t="s">
        <v>624</v>
      </c>
      <c r="L108" s="7"/>
      <c r="M108" s="7"/>
      <c r="N108" s="7"/>
      <c r="O108" s="7" t="s">
        <v>681</v>
      </c>
    </row>
    <row r="109" spans="1:15" ht="26" x14ac:dyDescent="0.3">
      <c r="A109" s="2">
        <v>15</v>
      </c>
      <c r="B109" s="7" t="s">
        <v>23</v>
      </c>
      <c r="C109" s="23" t="s">
        <v>523</v>
      </c>
      <c r="D109" s="24" t="s">
        <v>1022</v>
      </c>
      <c r="E109" s="24" t="s">
        <v>1023</v>
      </c>
      <c r="F109" s="25">
        <v>3.4722223062999547E-5</v>
      </c>
      <c r="G109" s="7">
        <v>0</v>
      </c>
      <c r="H109" s="7" t="s">
        <v>869</v>
      </c>
      <c r="I109" s="58" t="s">
        <v>1024</v>
      </c>
      <c r="J109" s="7" t="s">
        <v>21</v>
      </c>
      <c r="K109" s="7" t="s">
        <v>624</v>
      </c>
      <c r="L109" s="7"/>
      <c r="M109" s="7"/>
      <c r="N109" s="7"/>
      <c r="O109" s="7" t="s">
        <v>659</v>
      </c>
    </row>
    <row r="110" spans="1:15" ht="39" x14ac:dyDescent="0.3">
      <c r="A110" s="2">
        <v>16</v>
      </c>
      <c r="B110" s="7" t="s">
        <v>36</v>
      </c>
      <c r="C110" s="23" t="s">
        <v>523</v>
      </c>
      <c r="D110" s="24" t="s">
        <v>1025</v>
      </c>
      <c r="E110" s="24" t="s">
        <v>1026</v>
      </c>
      <c r="F110" s="25">
        <v>6.9444446125999093E-5</v>
      </c>
      <c r="G110" s="7">
        <v>0</v>
      </c>
      <c r="H110" s="7" t="s">
        <v>1027</v>
      </c>
      <c r="I110" s="58" t="s">
        <v>1028</v>
      </c>
      <c r="J110" s="7" t="s">
        <v>540</v>
      </c>
      <c r="K110" s="7" t="s">
        <v>618</v>
      </c>
      <c r="L110" s="7"/>
      <c r="M110" s="7"/>
      <c r="N110" s="7"/>
      <c r="O110" s="7" t="s">
        <v>1029</v>
      </c>
    </row>
    <row r="111" spans="1:15" ht="65" x14ac:dyDescent="0.3">
      <c r="A111" s="2">
        <v>17</v>
      </c>
      <c r="B111" s="7" t="s">
        <v>15</v>
      </c>
      <c r="C111" s="23" t="s">
        <v>523</v>
      </c>
      <c r="D111" s="24" t="s">
        <v>1030</v>
      </c>
      <c r="E111" s="24" t="s">
        <v>1031</v>
      </c>
      <c r="F111" s="25">
        <v>4.7916666662786156E-3</v>
      </c>
      <c r="G111" s="7">
        <v>7</v>
      </c>
      <c r="H111" s="7" t="s">
        <v>1180</v>
      </c>
      <c r="I111" s="58" t="s">
        <v>1032</v>
      </c>
      <c r="J111" s="7" t="s">
        <v>334</v>
      </c>
      <c r="K111" s="7" t="s">
        <v>618</v>
      </c>
      <c r="L111" s="7"/>
      <c r="M111" s="7"/>
      <c r="N111" s="7"/>
      <c r="O111" s="7" t="s">
        <v>1033</v>
      </c>
    </row>
    <row r="112" spans="1:15" ht="52" x14ac:dyDescent="0.3">
      <c r="A112" s="2">
        <v>18</v>
      </c>
      <c r="B112" s="7" t="s">
        <v>36</v>
      </c>
      <c r="C112" s="23" t="s">
        <v>523</v>
      </c>
      <c r="D112" s="24" t="s">
        <v>1034</v>
      </c>
      <c r="E112" s="24" t="s">
        <v>1035</v>
      </c>
      <c r="F112" s="25">
        <v>3.4722223062999547E-5</v>
      </c>
      <c r="G112" s="7">
        <v>0</v>
      </c>
      <c r="H112" s="7" t="s">
        <v>774</v>
      </c>
      <c r="I112" s="58" t="s">
        <v>1036</v>
      </c>
      <c r="J112" s="7" t="s">
        <v>174</v>
      </c>
      <c r="K112" s="7" t="s">
        <v>618</v>
      </c>
      <c r="L112" s="7"/>
      <c r="M112" s="7"/>
      <c r="N112" s="7"/>
      <c r="O112" s="7" t="s">
        <v>776</v>
      </c>
    </row>
    <row r="113" spans="1:15" ht="52" x14ac:dyDescent="0.3">
      <c r="A113" s="2">
        <v>19</v>
      </c>
      <c r="B113" s="7" t="s">
        <v>36</v>
      </c>
      <c r="C113" s="23" t="s">
        <v>523</v>
      </c>
      <c r="D113" s="24" t="s">
        <v>1037</v>
      </c>
      <c r="E113" s="24" t="s">
        <v>1038</v>
      </c>
      <c r="F113" s="25">
        <v>6.8645833336631767E-2</v>
      </c>
      <c r="G113" s="7">
        <v>99</v>
      </c>
      <c r="H113" s="7" t="s">
        <v>633</v>
      </c>
      <c r="I113" s="58" t="s">
        <v>1137</v>
      </c>
      <c r="J113" s="7" t="s">
        <v>174</v>
      </c>
      <c r="K113" s="7" t="s">
        <v>618</v>
      </c>
      <c r="L113" s="7"/>
      <c r="M113" s="7"/>
      <c r="N113" s="7"/>
      <c r="O113" s="7" t="s">
        <v>1039</v>
      </c>
    </row>
    <row r="114" spans="1:15" ht="26" x14ac:dyDescent="0.3">
      <c r="A114" s="2">
        <v>20</v>
      </c>
      <c r="B114" s="7" t="s">
        <v>23</v>
      </c>
      <c r="C114" s="23" t="s">
        <v>523</v>
      </c>
      <c r="D114" s="24" t="s">
        <v>1040</v>
      </c>
      <c r="E114" s="24" t="s">
        <v>1041</v>
      </c>
      <c r="F114" s="25">
        <v>3.9583333345944993E-3</v>
      </c>
      <c r="G114" s="7">
        <v>6</v>
      </c>
      <c r="H114" s="7" t="s">
        <v>679</v>
      </c>
      <c r="I114" s="58" t="s">
        <v>1042</v>
      </c>
      <c r="J114" s="7" t="s">
        <v>21</v>
      </c>
      <c r="K114" s="7" t="s">
        <v>624</v>
      </c>
      <c r="L114" s="7"/>
      <c r="M114" s="7"/>
      <c r="N114" s="7"/>
      <c r="O114" s="7" t="s">
        <v>681</v>
      </c>
    </row>
    <row r="115" spans="1:15" ht="26" x14ac:dyDescent="0.3">
      <c r="A115" s="2">
        <v>21</v>
      </c>
      <c r="B115" s="7" t="s">
        <v>23</v>
      </c>
      <c r="C115" s="23" t="s">
        <v>523</v>
      </c>
      <c r="D115" s="24" t="s">
        <v>1165</v>
      </c>
      <c r="E115" s="24" t="s">
        <v>1166</v>
      </c>
      <c r="F115" s="25">
        <v>6.6203703754581511E-3</v>
      </c>
      <c r="G115" s="7">
        <v>10</v>
      </c>
      <c r="H115" s="7" t="s">
        <v>1063</v>
      </c>
      <c r="I115" s="58" t="s">
        <v>1167</v>
      </c>
      <c r="J115" s="7" t="s">
        <v>21</v>
      </c>
      <c r="K115" s="7" t="s">
        <v>624</v>
      </c>
      <c r="L115" s="7"/>
      <c r="M115" s="7"/>
      <c r="N115" s="7"/>
      <c r="O115" s="7" t="s">
        <v>797</v>
      </c>
    </row>
    <row r="116" spans="1:15" ht="56.4" customHeight="1" x14ac:dyDescent="0.3">
      <c r="A116" s="2">
        <v>22</v>
      </c>
      <c r="B116" s="7" t="s">
        <v>23</v>
      </c>
      <c r="C116" s="23" t="s">
        <v>523</v>
      </c>
      <c r="D116" s="24" t="s">
        <v>1043</v>
      </c>
      <c r="E116" s="24" t="s">
        <v>1044</v>
      </c>
      <c r="F116" s="25">
        <v>4.8611111124046147E-3</v>
      </c>
      <c r="G116" s="7">
        <v>7</v>
      </c>
      <c r="H116" s="7" t="s">
        <v>1045</v>
      </c>
      <c r="I116" s="58" t="s">
        <v>1046</v>
      </c>
      <c r="J116" s="7" t="s">
        <v>21</v>
      </c>
      <c r="K116" s="7" t="s">
        <v>624</v>
      </c>
      <c r="L116" s="7"/>
      <c r="M116" s="7"/>
      <c r="N116" s="7"/>
      <c r="O116" s="7" t="s">
        <v>1047</v>
      </c>
    </row>
    <row r="117" spans="1:15" ht="26" x14ac:dyDescent="0.3">
      <c r="A117" s="2">
        <v>23</v>
      </c>
      <c r="B117" s="7" t="s">
        <v>36</v>
      </c>
      <c r="C117" s="23" t="s">
        <v>523</v>
      </c>
      <c r="D117" s="24" t="s">
        <v>1048</v>
      </c>
      <c r="E117" s="24" t="s">
        <v>1049</v>
      </c>
      <c r="F117" s="25">
        <v>1.1574074074074073E-5</v>
      </c>
      <c r="G117" s="7">
        <v>0</v>
      </c>
      <c r="H117" s="7" t="s">
        <v>633</v>
      </c>
      <c r="I117" s="58" t="s">
        <v>1080</v>
      </c>
      <c r="J117" s="7" t="s">
        <v>174</v>
      </c>
      <c r="K117" s="7" t="s">
        <v>618</v>
      </c>
      <c r="L117" s="7"/>
      <c r="M117" s="7"/>
      <c r="N117" s="7"/>
      <c r="O117" s="7" t="s">
        <v>1050</v>
      </c>
    </row>
    <row r="118" spans="1:15" ht="26" x14ac:dyDescent="0.3">
      <c r="A118" s="2">
        <v>24</v>
      </c>
      <c r="B118" s="7" t="s">
        <v>36</v>
      </c>
      <c r="C118" s="23" t="s">
        <v>523</v>
      </c>
      <c r="D118" s="24" t="s">
        <v>1060</v>
      </c>
      <c r="E118" s="24" t="s">
        <v>1061</v>
      </c>
      <c r="F118" s="25">
        <v>5.2662037051049992E-3</v>
      </c>
      <c r="G118" s="7">
        <v>8</v>
      </c>
      <c r="H118" s="7" t="s">
        <v>1081</v>
      </c>
      <c r="I118" s="58" t="s">
        <v>1062</v>
      </c>
      <c r="J118" s="7" t="s">
        <v>21</v>
      </c>
      <c r="K118" s="7" t="s">
        <v>624</v>
      </c>
      <c r="L118" s="7"/>
      <c r="M118" s="7"/>
      <c r="N118" s="7"/>
      <c r="O118" s="7" t="s">
        <v>736</v>
      </c>
    </row>
    <row r="119" spans="1:15" ht="130" x14ac:dyDescent="0.3">
      <c r="A119" s="2">
        <v>25</v>
      </c>
      <c r="B119" s="7" t="s">
        <v>23</v>
      </c>
      <c r="C119" s="23" t="s">
        <v>523</v>
      </c>
      <c r="D119" s="24" t="s">
        <v>1064</v>
      </c>
      <c r="E119" s="24" t="s">
        <v>1065</v>
      </c>
      <c r="F119" s="25">
        <v>2.2395833333333334E-2</v>
      </c>
      <c r="G119" s="7">
        <v>32</v>
      </c>
      <c r="H119" s="7" t="s">
        <v>1063</v>
      </c>
      <c r="I119" s="58" t="s">
        <v>1066</v>
      </c>
      <c r="J119" s="7" t="s">
        <v>21</v>
      </c>
      <c r="K119" s="7" t="s">
        <v>624</v>
      </c>
      <c r="L119" s="7"/>
      <c r="M119" s="7"/>
      <c r="N119" s="7"/>
      <c r="O119" s="7" t="s">
        <v>797</v>
      </c>
    </row>
    <row r="120" spans="1:15" ht="104" x14ac:dyDescent="0.3">
      <c r="A120" s="2">
        <v>26</v>
      </c>
      <c r="B120" s="7" t="s">
        <v>23</v>
      </c>
      <c r="C120" s="23" t="s">
        <v>523</v>
      </c>
      <c r="D120" s="24" t="s">
        <v>1067</v>
      </c>
      <c r="E120" s="24" t="s">
        <v>1068</v>
      </c>
      <c r="F120" s="25">
        <v>1.4212962967576459E-2</v>
      </c>
      <c r="G120" s="26">
        <v>20</v>
      </c>
      <c r="H120" s="7" t="s">
        <v>1073</v>
      </c>
      <c r="I120" s="58" t="s">
        <v>1120</v>
      </c>
      <c r="J120" s="7" t="s">
        <v>21</v>
      </c>
      <c r="K120" s="7" t="s">
        <v>624</v>
      </c>
      <c r="L120" s="7"/>
      <c r="M120" s="7"/>
      <c r="N120" s="7"/>
      <c r="O120" s="7" t="s">
        <v>1074</v>
      </c>
    </row>
    <row r="121" spans="1:15" ht="26" x14ac:dyDescent="0.3">
      <c r="A121" s="2">
        <v>27</v>
      </c>
      <c r="B121" s="7" t="s">
        <v>36</v>
      </c>
      <c r="C121" s="23" t="s">
        <v>523</v>
      </c>
      <c r="D121" s="24" t="s">
        <v>1070</v>
      </c>
      <c r="E121" s="24" t="s">
        <v>1071</v>
      </c>
      <c r="F121" s="25">
        <v>1.5879629630944692E-2</v>
      </c>
      <c r="G121" s="26">
        <v>23</v>
      </c>
      <c r="H121" s="7" t="s">
        <v>1069</v>
      </c>
      <c r="I121" s="58" t="s">
        <v>1120</v>
      </c>
      <c r="J121" s="7" t="s">
        <v>21</v>
      </c>
      <c r="K121" s="7" t="s">
        <v>624</v>
      </c>
      <c r="L121" s="7"/>
      <c r="M121" s="7"/>
      <c r="N121" s="7"/>
      <c r="O121" s="7" t="s">
        <v>1072</v>
      </c>
    </row>
    <row r="122" spans="1:15" ht="39" x14ac:dyDescent="0.3">
      <c r="A122" s="2">
        <v>28</v>
      </c>
      <c r="B122" s="7" t="s">
        <v>36</v>
      </c>
      <c r="C122" s="23" t="s">
        <v>523</v>
      </c>
      <c r="D122" s="24" t="s">
        <v>1086</v>
      </c>
      <c r="E122" s="24" t="s">
        <v>1079</v>
      </c>
      <c r="F122" s="25">
        <v>1.7002314814814814E-2</v>
      </c>
      <c r="G122" s="7">
        <v>24</v>
      </c>
      <c r="H122" s="7" t="s">
        <v>1075</v>
      </c>
      <c r="I122" s="58" t="s">
        <v>1121</v>
      </c>
      <c r="J122" s="7" t="s">
        <v>540</v>
      </c>
      <c r="K122" s="7" t="s">
        <v>624</v>
      </c>
      <c r="L122" s="7"/>
      <c r="M122" s="7"/>
      <c r="N122" s="7"/>
      <c r="O122" s="7" t="s">
        <v>792</v>
      </c>
    </row>
    <row r="123" spans="1:15" ht="78" x14ac:dyDescent="0.3">
      <c r="A123" s="2">
        <v>29</v>
      </c>
      <c r="B123" s="7" t="s">
        <v>36</v>
      </c>
      <c r="C123" s="23" t="s">
        <v>523</v>
      </c>
      <c r="D123" s="24" t="s">
        <v>1087</v>
      </c>
      <c r="E123" s="24" t="s">
        <v>1088</v>
      </c>
      <c r="F123" s="25">
        <v>3.0555555555555557E-3</v>
      </c>
      <c r="G123" s="7">
        <v>4</v>
      </c>
      <c r="H123" s="7" t="s">
        <v>1075</v>
      </c>
      <c r="I123" s="58" t="s">
        <v>1089</v>
      </c>
      <c r="J123" s="7" t="s">
        <v>21</v>
      </c>
      <c r="K123" s="7" t="s">
        <v>624</v>
      </c>
      <c r="L123" s="7"/>
      <c r="M123" s="7"/>
      <c r="N123" s="7"/>
      <c r="O123" s="7" t="s">
        <v>792</v>
      </c>
    </row>
    <row r="124" spans="1:15" ht="26" x14ac:dyDescent="0.3">
      <c r="A124" s="2">
        <v>30</v>
      </c>
      <c r="B124" s="7" t="s">
        <v>23</v>
      </c>
      <c r="C124" s="23" t="s">
        <v>523</v>
      </c>
      <c r="D124" s="24" t="s">
        <v>1090</v>
      </c>
      <c r="E124" s="24" t="s">
        <v>1091</v>
      </c>
      <c r="F124" s="25">
        <v>2.314814628334716E-5</v>
      </c>
      <c r="G124" s="7">
        <v>0</v>
      </c>
      <c r="H124" s="7" t="s">
        <v>679</v>
      </c>
      <c r="I124" s="58" t="s">
        <v>1122</v>
      </c>
      <c r="J124" s="7" t="s">
        <v>21</v>
      </c>
      <c r="K124" s="7" t="s">
        <v>624</v>
      </c>
      <c r="L124" s="7"/>
      <c r="M124" s="7"/>
      <c r="N124" s="7"/>
      <c r="O124" s="7" t="s">
        <v>681</v>
      </c>
    </row>
    <row r="125" spans="1:15" ht="108.65" customHeight="1" x14ac:dyDescent="0.3">
      <c r="A125" s="2">
        <v>31</v>
      </c>
      <c r="B125" s="7" t="s">
        <v>36</v>
      </c>
      <c r="C125" s="23" t="s">
        <v>523</v>
      </c>
      <c r="D125" s="24" t="s">
        <v>1092</v>
      </c>
      <c r="E125" s="24" t="s">
        <v>1093</v>
      </c>
      <c r="F125" s="25">
        <v>1.1574076779652387E-5</v>
      </c>
      <c r="G125" s="7">
        <v>0</v>
      </c>
      <c r="H125" s="7" t="s">
        <v>774</v>
      </c>
      <c r="I125" s="58" t="s">
        <v>1129</v>
      </c>
      <c r="J125" s="7" t="s">
        <v>174</v>
      </c>
      <c r="K125" s="7" t="s">
        <v>618</v>
      </c>
      <c r="L125" s="7"/>
      <c r="M125" s="7"/>
      <c r="N125" s="7"/>
      <c r="O125" s="7" t="s">
        <v>1130</v>
      </c>
    </row>
    <row r="126" spans="1:15" ht="84" x14ac:dyDescent="0.3">
      <c r="A126" s="2">
        <v>32</v>
      </c>
      <c r="B126" s="7" t="s">
        <v>36</v>
      </c>
      <c r="C126" s="23" t="s">
        <v>523</v>
      </c>
      <c r="D126" s="24" t="s">
        <v>1094</v>
      </c>
      <c r="E126" s="24" t="s">
        <v>1095</v>
      </c>
      <c r="F126" s="25">
        <v>1.1574074596865103E-4</v>
      </c>
      <c r="G126" s="7">
        <v>0</v>
      </c>
      <c r="H126" s="7" t="s">
        <v>633</v>
      </c>
      <c r="I126" s="58" t="s">
        <v>1108</v>
      </c>
      <c r="J126" s="7" t="s">
        <v>174</v>
      </c>
      <c r="K126" s="7" t="s">
        <v>618</v>
      </c>
      <c r="L126" s="7"/>
      <c r="M126" s="7"/>
      <c r="N126" s="7"/>
      <c r="O126" s="7" t="s">
        <v>1098</v>
      </c>
    </row>
    <row r="127" spans="1:15" ht="26" x14ac:dyDescent="0.3">
      <c r="A127" s="2">
        <v>33</v>
      </c>
      <c r="B127" s="7" t="s">
        <v>23</v>
      </c>
      <c r="C127" s="23" t="s">
        <v>523</v>
      </c>
      <c r="D127" s="24" t="s">
        <v>1096</v>
      </c>
      <c r="E127" s="24" t="s">
        <v>1097</v>
      </c>
      <c r="F127" s="25">
        <v>1.4120370324235409E-3</v>
      </c>
      <c r="G127" s="7">
        <v>2</v>
      </c>
      <c r="H127" s="7" t="s">
        <v>1105</v>
      </c>
      <c r="I127" s="58" t="s">
        <v>1106</v>
      </c>
      <c r="J127" s="7" t="s">
        <v>21</v>
      </c>
      <c r="K127" s="7" t="s">
        <v>618</v>
      </c>
      <c r="L127" s="7"/>
      <c r="M127" s="7"/>
      <c r="N127" s="7"/>
      <c r="O127" s="7" t="s">
        <v>1098</v>
      </c>
    </row>
    <row r="128" spans="1:15" ht="72" x14ac:dyDescent="0.3">
      <c r="A128" s="2">
        <v>34</v>
      </c>
      <c r="B128" s="7" t="s">
        <v>36</v>
      </c>
      <c r="C128" s="23" t="s">
        <v>523</v>
      </c>
      <c r="D128" s="24" t="s">
        <v>1131</v>
      </c>
      <c r="E128" s="24" t="s">
        <v>1132</v>
      </c>
      <c r="F128" s="25">
        <v>6.9444446125999093E-5</v>
      </c>
      <c r="G128" s="7">
        <v>0</v>
      </c>
      <c r="H128" s="7" t="s">
        <v>633</v>
      </c>
      <c r="I128" s="58" t="s">
        <v>1133</v>
      </c>
      <c r="J128" s="7" t="s">
        <v>174</v>
      </c>
      <c r="K128" s="7" t="s">
        <v>618</v>
      </c>
      <c r="L128" s="7"/>
      <c r="M128" s="7"/>
      <c r="N128" s="7"/>
      <c r="O128" s="7" t="s">
        <v>1050</v>
      </c>
    </row>
    <row r="129" spans="1:16" ht="26" x14ac:dyDescent="0.3">
      <c r="A129" s="2">
        <v>35</v>
      </c>
      <c r="B129" s="7" t="s">
        <v>36</v>
      </c>
      <c r="C129" s="23" t="s">
        <v>523</v>
      </c>
      <c r="D129" s="52" t="s">
        <v>1134</v>
      </c>
      <c r="E129" s="52" t="s">
        <v>1135</v>
      </c>
      <c r="F129" s="53">
        <v>0.13182870369928423</v>
      </c>
      <c r="G129" s="54">
        <v>190</v>
      </c>
      <c r="H129" s="7" t="s">
        <v>1069</v>
      </c>
      <c r="I129" s="58" t="s">
        <v>1136</v>
      </c>
      <c r="J129" s="7" t="s">
        <v>21</v>
      </c>
      <c r="K129" s="7" t="s">
        <v>624</v>
      </c>
      <c r="L129" s="7"/>
      <c r="M129" s="7"/>
      <c r="N129" s="7"/>
      <c r="O129" s="7" t="s">
        <v>1072</v>
      </c>
    </row>
    <row r="130" spans="1:16" s="32" customFormat="1" ht="39" x14ac:dyDescent="0.35">
      <c r="A130" s="2">
        <v>36</v>
      </c>
      <c r="B130" s="7" t="s">
        <v>36</v>
      </c>
      <c r="C130" s="23" t="s">
        <v>523</v>
      </c>
      <c r="D130" s="28" t="s">
        <v>1138</v>
      </c>
      <c r="E130" s="28" t="s">
        <v>1139</v>
      </c>
      <c r="F130" s="13">
        <v>5.5555555555555558E-3</v>
      </c>
      <c r="G130" s="12">
        <v>8</v>
      </c>
      <c r="H130" s="7" t="s">
        <v>924</v>
      </c>
      <c r="I130" s="58" t="s">
        <v>1140</v>
      </c>
      <c r="J130" s="2" t="s">
        <v>21</v>
      </c>
      <c r="K130" s="2" t="s">
        <v>618</v>
      </c>
      <c r="L130" s="2"/>
      <c r="M130" s="2"/>
      <c r="N130" s="2"/>
      <c r="O130" s="7" t="s">
        <v>654</v>
      </c>
      <c r="P130" s="44"/>
    </row>
    <row r="131" spans="1:16" ht="26" x14ac:dyDescent="0.3">
      <c r="A131" s="2">
        <v>37</v>
      </c>
      <c r="B131" s="7" t="s">
        <v>36</v>
      </c>
      <c r="C131" s="23" t="s">
        <v>523</v>
      </c>
      <c r="D131" s="24" t="s">
        <v>1145</v>
      </c>
      <c r="E131" s="24" t="s">
        <v>1146</v>
      </c>
      <c r="F131" s="25">
        <v>1.1574074074074075E-4</v>
      </c>
      <c r="G131" s="7">
        <v>0</v>
      </c>
      <c r="H131" s="7" t="s">
        <v>774</v>
      </c>
      <c r="I131" s="58" t="s">
        <v>1223</v>
      </c>
      <c r="J131" s="7" t="s">
        <v>174</v>
      </c>
      <c r="K131" s="7" t="s">
        <v>618</v>
      </c>
      <c r="L131" s="7"/>
      <c r="M131" s="7"/>
      <c r="N131" s="7"/>
      <c r="O131" s="7" t="s">
        <v>776</v>
      </c>
    </row>
    <row r="132" spans="1:16" ht="26" x14ac:dyDescent="0.3">
      <c r="A132" s="2">
        <v>38</v>
      </c>
      <c r="B132" s="7" t="s">
        <v>23</v>
      </c>
      <c r="C132" s="23" t="s">
        <v>523</v>
      </c>
      <c r="D132" s="24" t="s">
        <v>1156</v>
      </c>
      <c r="E132" s="24" t="s">
        <v>1157</v>
      </c>
      <c r="F132" s="25">
        <v>6.1342592380242422E-4</v>
      </c>
      <c r="G132" s="7">
        <v>1</v>
      </c>
      <c r="H132" s="7" t="s">
        <v>679</v>
      </c>
      <c r="I132" s="58" t="s">
        <v>1158</v>
      </c>
      <c r="J132" s="7" t="s">
        <v>21</v>
      </c>
      <c r="K132" s="7" t="s">
        <v>624</v>
      </c>
      <c r="L132" s="7"/>
      <c r="M132" s="7"/>
      <c r="N132" s="7"/>
      <c r="O132" s="7" t="s">
        <v>681</v>
      </c>
    </row>
    <row r="133" spans="1:16" ht="26" x14ac:dyDescent="0.3">
      <c r="A133" s="2">
        <v>39</v>
      </c>
      <c r="B133" s="7" t="s">
        <v>36</v>
      </c>
      <c r="C133" s="23" t="s">
        <v>523</v>
      </c>
      <c r="D133" s="24" t="s">
        <v>1156</v>
      </c>
      <c r="E133" s="24" t="s">
        <v>1159</v>
      </c>
      <c r="F133" s="25">
        <v>2.9976851801620796E-3</v>
      </c>
      <c r="G133" s="7">
        <v>4</v>
      </c>
      <c r="H133" s="7" t="s">
        <v>1081</v>
      </c>
      <c r="I133" s="58" t="s">
        <v>1163</v>
      </c>
      <c r="J133" s="7" t="s">
        <v>21</v>
      </c>
      <c r="K133" s="7" t="s">
        <v>624</v>
      </c>
      <c r="L133" s="7"/>
      <c r="M133" s="7"/>
      <c r="N133" s="7"/>
      <c r="O133" s="7" t="s">
        <v>736</v>
      </c>
    </row>
    <row r="134" spans="1:16" ht="52" x14ac:dyDescent="0.3">
      <c r="A134" s="2">
        <v>40</v>
      </c>
      <c r="B134" s="7" t="s">
        <v>36</v>
      </c>
      <c r="C134" s="23" t="s">
        <v>523</v>
      </c>
      <c r="D134" s="24" t="s">
        <v>1161</v>
      </c>
      <c r="E134" s="24" t="s">
        <v>1162</v>
      </c>
      <c r="F134" s="25">
        <v>4.6064814814814814E-3</v>
      </c>
      <c r="G134" s="7">
        <v>7</v>
      </c>
      <c r="H134" s="7" t="s">
        <v>1160</v>
      </c>
      <c r="I134" s="58" t="s">
        <v>1164</v>
      </c>
      <c r="J134" s="7" t="s">
        <v>21</v>
      </c>
      <c r="K134" s="2" t="s">
        <v>624</v>
      </c>
      <c r="L134" s="2"/>
      <c r="M134" s="2"/>
      <c r="N134" s="2"/>
      <c r="O134" s="2" t="s">
        <v>797</v>
      </c>
    </row>
    <row r="135" spans="1:16" ht="143" x14ac:dyDescent="0.3">
      <c r="A135" s="2">
        <v>41</v>
      </c>
      <c r="B135" s="43" t="s">
        <v>15</v>
      </c>
      <c r="C135" s="39" t="s">
        <v>523</v>
      </c>
      <c r="D135" s="28" t="s">
        <v>1149</v>
      </c>
      <c r="E135" s="28" t="s">
        <v>1150</v>
      </c>
      <c r="F135" s="13">
        <v>0.18194444444444444</v>
      </c>
      <c r="G135" s="12">
        <v>262</v>
      </c>
      <c r="H135" s="7" t="s">
        <v>1179</v>
      </c>
      <c r="I135" s="58" t="s">
        <v>1155</v>
      </c>
      <c r="J135" s="7" t="s">
        <v>21</v>
      </c>
      <c r="K135" s="7" t="s">
        <v>624</v>
      </c>
      <c r="L135" s="7"/>
      <c r="M135" s="7"/>
      <c r="N135" s="7"/>
      <c r="O135" s="7" t="s">
        <v>1154</v>
      </c>
    </row>
    <row r="136" spans="1:16" s="32" customFormat="1" ht="39" x14ac:dyDescent="0.35">
      <c r="A136" s="2">
        <v>1</v>
      </c>
      <c r="B136" s="7" t="s">
        <v>23</v>
      </c>
      <c r="C136" s="23" t="s">
        <v>1172</v>
      </c>
      <c r="D136" s="24" t="s">
        <v>1168</v>
      </c>
      <c r="E136" s="24" t="s">
        <v>1169</v>
      </c>
      <c r="F136" s="25">
        <v>1.3773148093605414E-3</v>
      </c>
      <c r="G136" s="12">
        <v>2</v>
      </c>
      <c r="H136" s="7" t="s">
        <v>1411</v>
      </c>
      <c r="I136" s="58" t="s">
        <v>1171</v>
      </c>
      <c r="J136" s="2" t="s">
        <v>21</v>
      </c>
      <c r="K136" s="2" t="s">
        <v>618</v>
      </c>
      <c r="L136" s="2"/>
      <c r="M136" s="2"/>
      <c r="N136" s="2"/>
      <c r="O136" s="7" t="s">
        <v>1170</v>
      </c>
      <c r="P136" s="44"/>
    </row>
    <row r="137" spans="1:16" ht="26" x14ac:dyDescent="0.3">
      <c r="A137" s="2">
        <v>2</v>
      </c>
      <c r="B137" s="7" t="s">
        <v>23</v>
      </c>
      <c r="C137" s="23" t="s">
        <v>1172</v>
      </c>
      <c r="D137" s="24" t="s">
        <v>1173</v>
      </c>
      <c r="E137" s="24" t="s">
        <v>1174</v>
      </c>
      <c r="F137" s="25">
        <v>9.2592592409346253E-5</v>
      </c>
      <c r="G137" s="7">
        <v>0</v>
      </c>
      <c r="H137" s="7" t="s">
        <v>869</v>
      </c>
      <c r="I137" s="58" t="s">
        <v>1175</v>
      </c>
      <c r="J137" s="7" t="s">
        <v>21</v>
      </c>
      <c r="K137" s="7" t="s">
        <v>624</v>
      </c>
      <c r="L137" s="7"/>
      <c r="M137" s="7"/>
      <c r="N137" s="7"/>
      <c r="O137" s="7" t="s">
        <v>659</v>
      </c>
    </row>
    <row r="138" spans="1:16" ht="26" x14ac:dyDescent="0.3">
      <c r="A138" s="2">
        <v>3</v>
      </c>
      <c r="B138" s="7" t="s">
        <v>23</v>
      </c>
      <c r="C138" s="23" t="s">
        <v>1172</v>
      </c>
      <c r="D138" s="24" t="s">
        <v>1177</v>
      </c>
      <c r="E138" s="24" t="s">
        <v>1178</v>
      </c>
      <c r="F138" s="25">
        <v>9.2592592409346253E-5</v>
      </c>
      <c r="G138" s="7">
        <v>0</v>
      </c>
      <c r="H138" s="7" t="s">
        <v>869</v>
      </c>
      <c r="I138" s="58" t="s">
        <v>1176</v>
      </c>
      <c r="J138" s="7" t="s">
        <v>21</v>
      </c>
      <c r="K138" s="7" t="s">
        <v>624</v>
      </c>
      <c r="L138" s="7"/>
      <c r="M138" s="7"/>
      <c r="N138" s="7"/>
      <c r="O138" s="7" t="s">
        <v>659</v>
      </c>
    </row>
    <row r="139" spans="1:16" ht="26" x14ac:dyDescent="0.3">
      <c r="A139" s="2">
        <v>4</v>
      </c>
      <c r="B139" s="7" t="s">
        <v>23</v>
      </c>
      <c r="C139" s="23" t="s">
        <v>1172</v>
      </c>
      <c r="D139" s="55" t="s">
        <v>1218</v>
      </c>
      <c r="E139" s="55" t="s">
        <v>1219</v>
      </c>
      <c r="F139" s="56">
        <v>5.6712962962962967E-4</v>
      </c>
      <c r="G139" s="7">
        <v>1</v>
      </c>
      <c r="H139" s="7" t="s">
        <v>679</v>
      </c>
      <c r="I139" s="58" t="s">
        <v>1220</v>
      </c>
      <c r="J139" s="7" t="s">
        <v>21</v>
      </c>
      <c r="K139" s="7" t="s">
        <v>624</v>
      </c>
      <c r="L139" s="7"/>
      <c r="M139" s="7"/>
      <c r="N139" s="7"/>
      <c r="O139" s="7" t="s">
        <v>681</v>
      </c>
    </row>
    <row r="140" spans="1:16" s="32" customFormat="1" ht="52" x14ac:dyDescent="0.35">
      <c r="A140" s="2">
        <v>5</v>
      </c>
      <c r="B140" s="7" t="s">
        <v>36</v>
      </c>
      <c r="C140" s="23" t="s">
        <v>1172</v>
      </c>
      <c r="D140" s="55" t="s">
        <v>1221</v>
      </c>
      <c r="E140" s="55" t="s">
        <v>1222</v>
      </c>
      <c r="F140" s="56">
        <v>5.2407407412829343E-2</v>
      </c>
      <c r="G140" s="12">
        <v>75</v>
      </c>
      <c r="H140" s="7" t="s">
        <v>924</v>
      </c>
      <c r="I140" s="58" t="s">
        <v>1228</v>
      </c>
      <c r="J140" s="2" t="s">
        <v>21</v>
      </c>
      <c r="K140" s="2" t="s">
        <v>618</v>
      </c>
      <c r="L140" s="2"/>
      <c r="M140" s="2"/>
      <c r="N140" s="2"/>
      <c r="O140" s="7" t="s">
        <v>654</v>
      </c>
      <c r="P140" s="44"/>
    </row>
    <row r="141" spans="1:16" ht="26" x14ac:dyDescent="0.3">
      <c r="A141" s="2">
        <v>6</v>
      </c>
      <c r="B141" s="7" t="s">
        <v>23</v>
      </c>
      <c r="C141" s="23" t="s">
        <v>1172</v>
      </c>
      <c r="D141" s="24" t="s">
        <v>1269</v>
      </c>
      <c r="E141" s="24" t="s">
        <v>1270</v>
      </c>
      <c r="F141" s="25">
        <v>5.5555555445607752E-4</v>
      </c>
      <c r="G141" s="12">
        <v>1</v>
      </c>
      <c r="H141" s="7" t="s">
        <v>1274</v>
      </c>
      <c r="I141" s="58" t="s">
        <v>1275</v>
      </c>
      <c r="J141" s="7" t="s">
        <v>21</v>
      </c>
      <c r="K141" s="7" t="s">
        <v>624</v>
      </c>
      <c r="L141" s="7"/>
      <c r="M141" s="7"/>
      <c r="N141" s="7"/>
      <c r="O141" s="7" t="s">
        <v>681</v>
      </c>
    </row>
    <row r="142" spans="1:16" ht="26" x14ac:dyDescent="0.3">
      <c r="A142" s="2">
        <v>7</v>
      </c>
      <c r="B142" s="7" t="s">
        <v>36</v>
      </c>
      <c r="C142" s="23" t="s">
        <v>1172</v>
      </c>
      <c r="D142" s="24" t="s">
        <v>1271</v>
      </c>
      <c r="E142" s="24" t="s">
        <v>1272</v>
      </c>
      <c r="F142" s="25">
        <v>4.7453703882638365E-4</v>
      </c>
      <c r="G142" s="12">
        <v>1</v>
      </c>
      <c r="H142" s="7" t="s">
        <v>1273</v>
      </c>
      <c r="I142" s="58" t="s">
        <v>1275</v>
      </c>
      <c r="J142" s="7" t="s">
        <v>21</v>
      </c>
      <c r="K142" s="7" t="s">
        <v>624</v>
      </c>
      <c r="L142" s="7"/>
      <c r="M142" s="7"/>
      <c r="N142" s="7"/>
      <c r="O142" s="7" t="s">
        <v>1276</v>
      </c>
    </row>
    <row r="143" spans="1:16" ht="39" x14ac:dyDescent="0.3">
      <c r="A143" s="2">
        <v>8</v>
      </c>
      <c r="B143" s="7" t="s">
        <v>23</v>
      </c>
      <c r="C143" s="23" t="s">
        <v>1172</v>
      </c>
      <c r="D143" s="24" t="s">
        <v>1277</v>
      </c>
      <c r="E143" s="24" t="s">
        <v>1278</v>
      </c>
      <c r="F143" s="25">
        <v>7.6388888555811718E-4</v>
      </c>
      <c r="G143" s="12">
        <v>1</v>
      </c>
      <c r="H143" s="7" t="s">
        <v>1279</v>
      </c>
      <c r="I143" s="58" t="s">
        <v>1328</v>
      </c>
      <c r="J143" s="7" t="s">
        <v>21</v>
      </c>
      <c r="K143" s="7" t="s">
        <v>624</v>
      </c>
      <c r="L143" s="7"/>
      <c r="M143" s="7"/>
      <c r="N143" s="7"/>
      <c r="O143" s="7" t="s">
        <v>1047</v>
      </c>
    </row>
    <row r="144" spans="1:16" ht="26" x14ac:dyDescent="0.3">
      <c r="A144" s="2">
        <v>9</v>
      </c>
      <c r="B144" s="7" t="s">
        <v>23</v>
      </c>
      <c r="C144" s="23" t="s">
        <v>1172</v>
      </c>
      <c r="D144" s="24" t="s">
        <v>1313</v>
      </c>
      <c r="E144" s="24" t="s">
        <v>1314</v>
      </c>
      <c r="F144" s="25">
        <v>5.3240740817273036E-4</v>
      </c>
      <c r="G144" s="12">
        <v>1</v>
      </c>
      <c r="H144" s="7" t="s">
        <v>1274</v>
      </c>
      <c r="I144" s="58" t="s">
        <v>1315</v>
      </c>
      <c r="J144" s="7" t="s">
        <v>21</v>
      </c>
      <c r="K144" s="7" t="s">
        <v>624</v>
      </c>
      <c r="L144" s="7"/>
      <c r="M144" s="7"/>
      <c r="N144" s="7"/>
      <c r="O144" s="7" t="s">
        <v>681</v>
      </c>
    </row>
    <row r="145" spans="1:16" ht="26" x14ac:dyDescent="0.3">
      <c r="A145" s="2">
        <v>10</v>
      </c>
      <c r="B145" s="7" t="s">
        <v>36</v>
      </c>
      <c r="C145" s="23" t="s">
        <v>1172</v>
      </c>
      <c r="D145" s="24" t="s">
        <v>1316</v>
      </c>
      <c r="E145" s="24" t="s">
        <v>1317</v>
      </c>
      <c r="F145" s="25">
        <v>1.8287037019035779E-3</v>
      </c>
      <c r="G145" s="12">
        <v>3</v>
      </c>
      <c r="H145" s="7" t="s">
        <v>1273</v>
      </c>
      <c r="I145" s="58" t="s">
        <v>1315</v>
      </c>
      <c r="J145" s="7" t="s">
        <v>21</v>
      </c>
      <c r="K145" s="7" t="s">
        <v>624</v>
      </c>
      <c r="L145" s="7"/>
      <c r="M145" s="7"/>
      <c r="N145" s="7"/>
      <c r="O145" s="7" t="s">
        <v>1276</v>
      </c>
    </row>
    <row r="146" spans="1:16" ht="39" x14ac:dyDescent="0.3">
      <c r="A146" s="2">
        <v>11</v>
      </c>
      <c r="B146" s="7" t="s">
        <v>23</v>
      </c>
      <c r="C146" s="23" t="s">
        <v>1172</v>
      </c>
      <c r="D146" s="24" t="s">
        <v>1318</v>
      </c>
      <c r="E146" s="24" t="s">
        <v>1319</v>
      </c>
      <c r="F146" s="25">
        <v>3.2407407707069069E-4</v>
      </c>
      <c r="G146" s="12">
        <v>0</v>
      </c>
      <c r="H146" s="7" t="s">
        <v>1488</v>
      </c>
      <c r="I146" s="58" t="s">
        <v>1327</v>
      </c>
      <c r="J146" s="7" t="s">
        <v>21</v>
      </c>
      <c r="K146" s="7" t="s">
        <v>624</v>
      </c>
      <c r="L146" s="7"/>
      <c r="M146" s="7"/>
      <c r="N146" s="7"/>
      <c r="O146" s="7" t="s">
        <v>1320</v>
      </c>
    </row>
    <row r="147" spans="1:16" ht="52" x14ac:dyDescent="0.3">
      <c r="A147" s="2">
        <v>12</v>
      </c>
      <c r="B147" s="7" t="s">
        <v>23</v>
      </c>
      <c r="C147" s="23" t="s">
        <v>1172</v>
      </c>
      <c r="D147" s="24" t="s">
        <v>1329</v>
      </c>
      <c r="E147" s="24" t="s">
        <v>1330</v>
      </c>
      <c r="F147" s="25">
        <v>9.7835648150066845E-2</v>
      </c>
      <c r="G147" s="26">
        <f t="shared" ref="G147" si="0">F147*1440</f>
        <v>140.88333333609626</v>
      </c>
      <c r="H147" s="7" t="s">
        <v>1334</v>
      </c>
      <c r="I147" s="58" t="s">
        <v>1331</v>
      </c>
      <c r="J147" s="7" t="s">
        <v>28</v>
      </c>
      <c r="K147" s="2" t="s">
        <v>618</v>
      </c>
      <c r="L147" s="7"/>
      <c r="M147" s="7"/>
      <c r="N147" s="7"/>
      <c r="O147" s="7" t="s">
        <v>1332</v>
      </c>
    </row>
    <row r="148" spans="1:16" ht="52" x14ac:dyDescent="0.3">
      <c r="A148" s="2">
        <v>13</v>
      </c>
      <c r="B148" s="7" t="s">
        <v>23</v>
      </c>
      <c r="C148" s="23" t="s">
        <v>1172</v>
      </c>
      <c r="D148" s="24" t="s">
        <v>1329</v>
      </c>
      <c r="E148" s="24" t="s">
        <v>1333</v>
      </c>
      <c r="F148" s="25">
        <v>0.10339120370190358</v>
      </c>
      <c r="G148" s="26">
        <f t="shared" ref="G148" si="1">F148*1440</f>
        <v>148.88333333074115</v>
      </c>
      <c r="H148" s="7" t="s">
        <v>1335</v>
      </c>
      <c r="I148" s="58" t="s">
        <v>1331</v>
      </c>
      <c r="J148" s="7" t="s">
        <v>28</v>
      </c>
      <c r="K148" s="2" t="s">
        <v>618</v>
      </c>
      <c r="L148" s="7"/>
      <c r="M148" s="7"/>
      <c r="N148" s="7"/>
      <c r="O148" s="7" t="s">
        <v>1332</v>
      </c>
    </row>
    <row r="149" spans="1:16" ht="91" x14ac:dyDescent="0.3">
      <c r="A149" s="2">
        <v>14</v>
      </c>
      <c r="B149" s="7" t="s">
        <v>36</v>
      </c>
      <c r="C149" s="23" t="s">
        <v>1172</v>
      </c>
      <c r="D149" s="55" t="s">
        <v>1374</v>
      </c>
      <c r="E149" s="90" t="s">
        <v>1519</v>
      </c>
      <c r="F149" s="72"/>
      <c r="G149" s="70"/>
      <c r="H149" s="7" t="s">
        <v>1376</v>
      </c>
      <c r="I149" s="58" t="s">
        <v>1375</v>
      </c>
      <c r="J149" s="7" t="s">
        <v>174</v>
      </c>
      <c r="K149" s="7" t="s">
        <v>1056</v>
      </c>
      <c r="L149" s="7"/>
      <c r="M149" s="7"/>
      <c r="N149" s="7"/>
      <c r="O149" s="7" t="s">
        <v>976</v>
      </c>
    </row>
    <row r="150" spans="1:16" s="32" customFormat="1" ht="39" x14ac:dyDescent="0.35">
      <c r="A150" s="2">
        <v>15</v>
      </c>
      <c r="B150" s="7" t="s">
        <v>36</v>
      </c>
      <c r="C150" s="23" t="s">
        <v>1172</v>
      </c>
      <c r="D150" s="24" t="s">
        <v>1378</v>
      </c>
      <c r="E150" s="24" t="s">
        <v>1379</v>
      </c>
      <c r="F150" s="25">
        <v>7.9745370312593877E-3</v>
      </c>
      <c r="G150" s="12">
        <v>11</v>
      </c>
      <c r="H150" s="7" t="s">
        <v>924</v>
      </c>
      <c r="I150" s="58" t="s">
        <v>1384</v>
      </c>
      <c r="J150" s="2" t="s">
        <v>21</v>
      </c>
      <c r="K150" s="2" t="s">
        <v>618</v>
      </c>
      <c r="L150" s="2"/>
      <c r="M150" s="2"/>
      <c r="N150" s="2"/>
      <c r="O150" s="7" t="s">
        <v>654</v>
      </c>
      <c r="P150" s="44"/>
    </row>
    <row r="151" spans="1:16" ht="39" x14ac:dyDescent="0.3">
      <c r="A151" s="2">
        <v>16</v>
      </c>
      <c r="B151" s="7" t="s">
        <v>23</v>
      </c>
      <c r="C151" s="23" t="s">
        <v>1172</v>
      </c>
      <c r="D151" s="24" t="s">
        <v>1380</v>
      </c>
      <c r="E151" s="24" t="s">
        <v>1381</v>
      </c>
      <c r="F151" s="25">
        <v>2.9513888948713429E-3</v>
      </c>
      <c r="G151" s="2">
        <v>4</v>
      </c>
      <c r="H151" s="7" t="s">
        <v>1409</v>
      </c>
      <c r="I151" s="58" t="s">
        <v>1383</v>
      </c>
      <c r="J151" s="7" t="s">
        <v>21</v>
      </c>
      <c r="K151" s="7" t="s">
        <v>618</v>
      </c>
      <c r="L151" s="46"/>
      <c r="M151" s="46"/>
      <c r="N151" s="46"/>
      <c r="O151" s="7" t="s">
        <v>1382</v>
      </c>
    </row>
    <row r="152" spans="1:16" ht="26" x14ac:dyDescent="0.3">
      <c r="A152" s="2">
        <v>17</v>
      </c>
      <c r="B152" s="7" t="s">
        <v>23</v>
      </c>
      <c r="C152" s="23" t="s">
        <v>1172</v>
      </c>
      <c r="D152" s="24" t="s">
        <v>1387</v>
      </c>
      <c r="E152" s="24" t="s">
        <v>1388</v>
      </c>
      <c r="F152" s="25">
        <v>2.314814628334716E-5</v>
      </c>
      <c r="G152" s="73">
        <v>0</v>
      </c>
      <c r="H152" s="7" t="s">
        <v>1274</v>
      </c>
      <c r="I152" s="58" t="s">
        <v>1389</v>
      </c>
      <c r="J152" s="7" t="s">
        <v>21</v>
      </c>
      <c r="K152" s="7" t="s">
        <v>624</v>
      </c>
      <c r="L152" s="7"/>
      <c r="M152" s="7"/>
      <c r="N152" s="7"/>
      <c r="O152" s="7" t="s">
        <v>681</v>
      </c>
    </row>
    <row r="153" spans="1:16" ht="143" x14ac:dyDescent="0.3">
      <c r="A153" s="2">
        <v>18</v>
      </c>
      <c r="B153" s="43" t="s">
        <v>15</v>
      </c>
      <c r="C153" s="23" t="s">
        <v>1172</v>
      </c>
      <c r="D153" s="24" t="s">
        <v>1390</v>
      </c>
      <c r="E153" s="24" t="s">
        <v>1391</v>
      </c>
      <c r="F153" s="25">
        <v>9.6886574074074069E-2</v>
      </c>
      <c r="G153" s="2">
        <v>140</v>
      </c>
      <c r="H153" s="7" t="s">
        <v>1410</v>
      </c>
      <c r="I153" s="58" t="s">
        <v>1392</v>
      </c>
      <c r="J153" s="7" t="s">
        <v>21</v>
      </c>
      <c r="K153" s="7" t="s">
        <v>618</v>
      </c>
      <c r="L153" s="46"/>
      <c r="M153" s="46"/>
      <c r="N153" s="46"/>
      <c r="O153" s="7" t="s">
        <v>1393</v>
      </c>
    </row>
    <row r="154" spans="1:16" s="32" customFormat="1" ht="143" x14ac:dyDescent="0.35">
      <c r="A154" s="2">
        <v>19</v>
      </c>
      <c r="B154" s="43" t="s">
        <v>15</v>
      </c>
      <c r="C154" s="23" t="s">
        <v>1172</v>
      </c>
      <c r="D154" s="24" t="s">
        <v>1394</v>
      </c>
      <c r="E154" s="24" t="s">
        <v>1395</v>
      </c>
      <c r="F154" s="25">
        <v>0.13590277777777779</v>
      </c>
      <c r="G154" s="12">
        <v>196</v>
      </c>
      <c r="H154" s="7" t="s">
        <v>924</v>
      </c>
      <c r="I154" s="58" t="s">
        <v>1392</v>
      </c>
      <c r="J154" s="2" t="s">
        <v>21</v>
      </c>
      <c r="K154" s="2" t="s">
        <v>618</v>
      </c>
      <c r="L154" s="2"/>
      <c r="M154" s="2"/>
      <c r="N154" s="2"/>
      <c r="O154" s="7" t="s">
        <v>654</v>
      </c>
      <c r="P154" s="44"/>
    </row>
    <row r="155" spans="1:16" ht="39" x14ac:dyDescent="0.3">
      <c r="A155" s="2">
        <v>20</v>
      </c>
      <c r="B155" s="7" t="s">
        <v>23</v>
      </c>
      <c r="C155" s="23" t="s">
        <v>1172</v>
      </c>
      <c r="D155" s="24" t="s">
        <v>1396</v>
      </c>
      <c r="E155" s="24" t="s">
        <v>1397</v>
      </c>
      <c r="F155" s="25">
        <v>4.0509259270038456E-4</v>
      </c>
      <c r="G155" s="73">
        <v>1</v>
      </c>
      <c r="H155" s="7" t="s">
        <v>1398</v>
      </c>
      <c r="I155" s="58" t="s">
        <v>1399</v>
      </c>
      <c r="J155" s="7" t="s">
        <v>21</v>
      </c>
      <c r="K155" s="7" t="s">
        <v>624</v>
      </c>
      <c r="L155" s="7"/>
      <c r="M155" s="7"/>
      <c r="N155" s="7"/>
      <c r="O155" s="7" t="s">
        <v>1400</v>
      </c>
    </row>
    <row r="156" spans="1:16" ht="65" x14ac:dyDescent="0.3">
      <c r="A156" s="2">
        <v>21</v>
      </c>
      <c r="B156" s="7" t="s">
        <v>23</v>
      </c>
      <c r="C156" s="23" t="s">
        <v>1172</v>
      </c>
      <c r="D156" s="24" t="s">
        <v>1401</v>
      </c>
      <c r="E156" s="24" t="s">
        <v>1402</v>
      </c>
      <c r="F156" s="25">
        <v>3.3680555497994646E-3</v>
      </c>
      <c r="G156" s="73">
        <v>5</v>
      </c>
      <c r="H156" s="7" t="s">
        <v>1443</v>
      </c>
      <c r="I156" s="58" t="s">
        <v>1403</v>
      </c>
      <c r="J156" s="7" t="s">
        <v>21</v>
      </c>
      <c r="K156" s="7" t="s">
        <v>624</v>
      </c>
      <c r="L156" s="7"/>
      <c r="M156" s="7"/>
      <c r="N156" s="7"/>
      <c r="O156" s="7" t="s">
        <v>1404</v>
      </c>
    </row>
    <row r="157" spans="1:16" s="32" customFormat="1" ht="26" x14ac:dyDescent="0.35">
      <c r="A157" s="2">
        <v>22</v>
      </c>
      <c r="B157" s="7" t="s">
        <v>36</v>
      </c>
      <c r="C157" s="23" t="s">
        <v>1172</v>
      </c>
      <c r="D157" s="24" t="s">
        <v>1405</v>
      </c>
      <c r="E157" s="24" t="s">
        <v>1406</v>
      </c>
      <c r="F157" s="25">
        <v>4.7800925894989632E-3</v>
      </c>
      <c r="G157" s="12">
        <v>7</v>
      </c>
      <c r="H157" s="7" t="s">
        <v>924</v>
      </c>
      <c r="I157" s="58" t="s">
        <v>1407</v>
      </c>
      <c r="J157" s="2" t="s">
        <v>21</v>
      </c>
      <c r="K157" s="2" t="s">
        <v>618</v>
      </c>
      <c r="L157" s="2"/>
      <c r="M157" s="2"/>
      <c r="N157" s="2"/>
      <c r="O157" s="7" t="s">
        <v>654</v>
      </c>
      <c r="P157" s="44"/>
    </row>
    <row r="158" spans="1:16" ht="26" x14ac:dyDescent="0.3">
      <c r="A158" s="2">
        <v>23</v>
      </c>
      <c r="B158" s="7" t="s">
        <v>36</v>
      </c>
      <c r="C158" s="23" t="s">
        <v>1172</v>
      </c>
      <c r="D158" s="24" t="s">
        <v>1440</v>
      </c>
      <c r="E158" s="24" t="s">
        <v>1441</v>
      </c>
      <c r="F158" s="25">
        <v>4.7453703664359637E-3</v>
      </c>
      <c r="G158" s="2">
        <v>7</v>
      </c>
      <c r="H158" s="7" t="s">
        <v>1439</v>
      </c>
      <c r="I158" s="58" t="s">
        <v>1442</v>
      </c>
      <c r="J158" s="7" t="s">
        <v>21</v>
      </c>
      <c r="K158" s="7" t="s">
        <v>618</v>
      </c>
      <c r="L158" s="46"/>
      <c r="M158" s="46"/>
      <c r="N158" s="46"/>
      <c r="O158" s="7" t="s">
        <v>1452</v>
      </c>
    </row>
    <row r="159" spans="1:16" ht="24" x14ac:dyDescent="0.3">
      <c r="A159" s="81">
        <v>24</v>
      </c>
      <c r="B159" s="7" t="s">
        <v>36</v>
      </c>
      <c r="C159" s="23" t="s">
        <v>1172</v>
      </c>
      <c r="D159" s="24" t="s">
        <v>1444</v>
      </c>
      <c r="E159" s="24" t="s">
        <v>1445</v>
      </c>
      <c r="F159" s="25">
        <v>4.6296292566694319E-5</v>
      </c>
      <c r="G159" s="2">
        <v>0</v>
      </c>
      <c r="H159" s="7" t="s">
        <v>633</v>
      </c>
      <c r="I159" s="58" t="s">
        <v>1446</v>
      </c>
      <c r="J159" s="7"/>
      <c r="K159" s="7" t="s">
        <v>618</v>
      </c>
      <c r="L159" s="46"/>
      <c r="M159" s="46"/>
      <c r="N159" s="46"/>
      <c r="O159" s="7" t="s">
        <v>1447</v>
      </c>
    </row>
    <row r="160" spans="1:16" ht="52" x14ac:dyDescent="0.3">
      <c r="A160" s="2">
        <v>25</v>
      </c>
      <c r="B160" s="7" t="s">
        <v>36</v>
      </c>
      <c r="C160" s="23" t="s">
        <v>1172</v>
      </c>
      <c r="D160" s="24" t="s">
        <v>1448</v>
      </c>
      <c r="E160" s="24" t="s">
        <v>1449</v>
      </c>
      <c r="F160" s="25">
        <v>1.2268518476048484E-3</v>
      </c>
      <c r="G160" s="2">
        <v>2</v>
      </c>
      <c r="H160" s="7" t="s">
        <v>1451</v>
      </c>
      <c r="I160" s="58" t="s">
        <v>1450</v>
      </c>
      <c r="J160" s="7" t="s">
        <v>21</v>
      </c>
      <c r="K160" s="7" t="s">
        <v>624</v>
      </c>
      <c r="L160" s="46"/>
      <c r="M160" s="46"/>
      <c r="N160" s="46"/>
      <c r="O160" s="7" t="s">
        <v>797</v>
      </c>
    </row>
    <row r="161" spans="1:16" ht="143" x14ac:dyDescent="0.3">
      <c r="A161" s="2">
        <v>26</v>
      </c>
      <c r="B161" s="7" t="s">
        <v>15</v>
      </c>
      <c r="C161" s="23" t="s">
        <v>523</v>
      </c>
      <c r="D161" s="90" t="s">
        <v>1483</v>
      </c>
      <c r="E161" s="90" t="s">
        <v>1484</v>
      </c>
      <c r="F161" s="91">
        <v>4.6643518518518518E-3</v>
      </c>
      <c r="G161" s="7">
        <v>7</v>
      </c>
      <c r="H161" s="7" t="s">
        <v>1180</v>
      </c>
      <c r="I161" s="58" t="s">
        <v>1609</v>
      </c>
      <c r="J161" s="7" t="s">
        <v>21</v>
      </c>
      <c r="K161" s="7" t="s">
        <v>618</v>
      </c>
      <c r="L161" s="7"/>
      <c r="M161" s="7"/>
      <c r="N161" s="7"/>
      <c r="O161" s="7" t="s">
        <v>1033</v>
      </c>
    </row>
    <row r="162" spans="1:16" ht="26" x14ac:dyDescent="0.3">
      <c r="A162" s="2">
        <v>27</v>
      </c>
      <c r="B162" s="7" t="s">
        <v>23</v>
      </c>
      <c r="C162" s="23" t="s">
        <v>1172</v>
      </c>
      <c r="D162" s="90" t="s">
        <v>1485</v>
      </c>
      <c r="E162" s="90" t="s">
        <v>1486</v>
      </c>
      <c r="F162" s="91">
        <v>1.273148154723458E-4</v>
      </c>
      <c r="G162" s="7">
        <v>0</v>
      </c>
      <c r="H162" s="7" t="s">
        <v>869</v>
      </c>
      <c r="I162" s="58" t="s">
        <v>1487</v>
      </c>
      <c r="J162" s="7" t="s">
        <v>21</v>
      </c>
      <c r="K162" s="7" t="s">
        <v>624</v>
      </c>
      <c r="L162" s="7"/>
      <c r="M162" s="7"/>
      <c r="N162" s="7"/>
      <c r="O162" s="7" t="s">
        <v>659</v>
      </c>
    </row>
    <row r="163" spans="1:16" ht="39" x14ac:dyDescent="0.3">
      <c r="A163" s="2">
        <v>28</v>
      </c>
      <c r="B163" s="7" t="s">
        <v>23</v>
      </c>
      <c r="C163" s="23" t="s">
        <v>1172</v>
      </c>
      <c r="D163" s="90" t="s">
        <v>1520</v>
      </c>
      <c r="E163" s="90" t="s">
        <v>1521</v>
      </c>
      <c r="F163" s="91">
        <v>2.3148148148148147E-5</v>
      </c>
      <c r="G163" s="7">
        <v>0</v>
      </c>
      <c r="H163" s="7" t="s">
        <v>869</v>
      </c>
      <c r="I163" s="58" t="s">
        <v>1522</v>
      </c>
      <c r="J163" s="7" t="s">
        <v>21</v>
      </c>
      <c r="K163" s="7" t="s">
        <v>624</v>
      </c>
      <c r="L163" s="7"/>
      <c r="M163" s="7"/>
      <c r="N163" s="7"/>
      <c r="O163" s="7" t="s">
        <v>659</v>
      </c>
    </row>
    <row r="164" spans="1:16" s="32" customFormat="1" ht="26" x14ac:dyDescent="0.35">
      <c r="A164" s="2">
        <v>29</v>
      </c>
      <c r="B164" s="7" t="s">
        <v>36</v>
      </c>
      <c r="C164" s="23" t="s">
        <v>1172</v>
      </c>
      <c r="D164" s="90" t="s">
        <v>1523</v>
      </c>
      <c r="E164" s="90" t="s">
        <v>1524</v>
      </c>
      <c r="F164" s="91">
        <v>6.4699074064265005E-3</v>
      </c>
      <c r="G164" s="12">
        <v>9</v>
      </c>
      <c r="H164" s="7" t="s">
        <v>924</v>
      </c>
      <c r="I164" s="58" t="s">
        <v>1525</v>
      </c>
      <c r="J164" s="2" t="s">
        <v>21</v>
      </c>
      <c r="K164" s="2" t="s">
        <v>618</v>
      </c>
      <c r="L164" s="2"/>
      <c r="M164" s="2"/>
      <c r="N164" s="2"/>
      <c r="O164" s="7" t="s">
        <v>654</v>
      </c>
      <c r="P164" s="44"/>
    </row>
    <row r="165" spans="1:16" ht="24" x14ac:dyDescent="0.3">
      <c r="A165" s="2">
        <v>30</v>
      </c>
      <c r="B165" s="7" t="s">
        <v>23</v>
      </c>
      <c r="C165" s="23" t="s">
        <v>1172</v>
      </c>
      <c r="D165" s="90" t="s">
        <v>1529</v>
      </c>
      <c r="E165" s="90" t="s">
        <v>1530</v>
      </c>
      <c r="F165" s="91">
        <v>3.8402777783630881E-2</v>
      </c>
      <c r="G165" s="93">
        <v>55</v>
      </c>
      <c r="H165" s="7" t="s">
        <v>1526</v>
      </c>
      <c r="I165" s="58" t="s">
        <v>1528</v>
      </c>
      <c r="J165" s="2" t="s">
        <v>21</v>
      </c>
      <c r="K165" s="2" t="s">
        <v>618</v>
      </c>
      <c r="L165" s="7"/>
      <c r="M165" s="7"/>
      <c r="N165" s="7"/>
      <c r="O165" s="7" t="s">
        <v>1527</v>
      </c>
    </row>
    <row r="166" spans="1:16" ht="26" x14ac:dyDescent="0.3">
      <c r="A166" s="2">
        <v>31</v>
      </c>
      <c r="B166" s="7" t="s">
        <v>36</v>
      </c>
      <c r="C166" s="23" t="s">
        <v>1172</v>
      </c>
      <c r="D166" s="24" t="s">
        <v>1540</v>
      </c>
      <c r="E166" s="24" t="s">
        <v>1541</v>
      </c>
      <c r="F166" s="25">
        <v>4.9652777815936133E-3</v>
      </c>
      <c r="G166" s="93">
        <v>7</v>
      </c>
      <c r="H166" s="7" t="s">
        <v>1451</v>
      </c>
      <c r="I166" s="58" t="s">
        <v>1542</v>
      </c>
      <c r="J166" s="2" t="s">
        <v>21</v>
      </c>
      <c r="K166" s="7" t="s">
        <v>624</v>
      </c>
      <c r="L166" s="7"/>
      <c r="M166" s="7"/>
      <c r="N166" s="7"/>
      <c r="O166" s="7" t="s">
        <v>797</v>
      </c>
    </row>
    <row r="167" spans="1:16" ht="26" x14ac:dyDescent="0.3">
      <c r="A167" s="2">
        <v>32</v>
      </c>
      <c r="B167" s="7" t="s">
        <v>36</v>
      </c>
      <c r="C167" s="23" t="s">
        <v>1172</v>
      </c>
      <c r="D167" s="24" t="s">
        <v>1543</v>
      </c>
      <c r="E167" s="24" t="s">
        <v>1544</v>
      </c>
      <c r="F167" s="25">
        <v>2.5694444484543055E-3</v>
      </c>
      <c r="G167" s="93">
        <v>4</v>
      </c>
      <c r="H167" s="7" t="s">
        <v>1608</v>
      </c>
      <c r="I167" s="58" t="s">
        <v>1610</v>
      </c>
      <c r="J167" s="2" t="s">
        <v>334</v>
      </c>
      <c r="K167" s="7" t="s">
        <v>624</v>
      </c>
      <c r="L167" s="7"/>
      <c r="M167" s="7"/>
      <c r="N167" s="7"/>
      <c r="O167" s="7" t="s">
        <v>792</v>
      </c>
    </row>
    <row r="168" spans="1:16" ht="78" x14ac:dyDescent="0.3">
      <c r="A168" s="2">
        <v>33</v>
      </c>
      <c r="B168" s="7" t="s">
        <v>15</v>
      </c>
      <c r="C168" s="23" t="s">
        <v>1172</v>
      </c>
      <c r="D168" s="24" t="s">
        <v>1545</v>
      </c>
      <c r="E168" s="24" t="s">
        <v>1546</v>
      </c>
      <c r="F168" s="25">
        <v>3.1458333338377997E-2</v>
      </c>
      <c r="G168" s="93">
        <v>45</v>
      </c>
      <c r="H168" s="7" t="s">
        <v>1607</v>
      </c>
      <c r="I168" s="58" t="s">
        <v>1613</v>
      </c>
      <c r="J168" s="2" t="s">
        <v>334</v>
      </c>
      <c r="K168" s="7" t="s">
        <v>624</v>
      </c>
      <c r="L168" s="7"/>
      <c r="M168" s="7"/>
      <c r="N168" s="7"/>
      <c r="O168" s="7" t="s">
        <v>1550</v>
      </c>
    </row>
    <row r="169" spans="1:16" ht="39" x14ac:dyDescent="0.3">
      <c r="A169" s="2">
        <v>34</v>
      </c>
      <c r="B169" s="7" t="s">
        <v>15</v>
      </c>
      <c r="C169" s="23" t="s">
        <v>1172</v>
      </c>
      <c r="D169" s="24" t="s">
        <v>1547</v>
      </c>
      <c r="E169" s="24" t="s">
        <v>1548</v>
      </c>
      <c r="F169" s="25">
        <v>1.0578703702776693E-2</v>
      </c>
      <c r="G169" s="93">
        <v>15</v>
      </c>
      <c r="H169" s="7" t="s">
        <v>1611</v>
      </c>
      <c r="I169" s="58" t="s">
        <v>1612</v>
      </c>
      <c r="J169" s="2" t="s">
        <v>334</v>
      </c>
      <c r="K169" s="7" t="s">
        <v>624</v>
      </c>
      <c r="L169" s="7"/>
      <c r="M169" s="7"/>
      <c r="N169" s="7"/>
      <c r="O169" s="7" t="s">
        <v>1549</v>
      </c>
    </row>
    <row r="170" spans="1:16" ht="26" x14ac:dyDescent="0.3">
      <c r="A170" s="2">
        <v>35</v>
      </c>
      <c r="B170" s="7" t="s">
        <v>23</v>
      </c>
      <c r="C170" s="23" t="s">
        <v>1172</v>
      </c>
      <c r="D170" s="24" t="s">
        <v>1570</v>
      </c>
      <c r="E170" s="24" t="s">
        <v>1571</v>
      </c>
      <c r="F170" s="25">
        <v>1.1574076779652387E-5</v>
      </c>
      <c r="G170" s="7">
        <v>0</v>
      </c>
      <c r="H170" s="7" t="s">
        <v>869</v>
      </c>
      <c r="I170" s="58" t="s">
        <v>1572</v>
      </c>
      <c r="J170" s="7" t="s">
        <v>21</v>
      </c>
      <c r="K170" s="7" t="s">
        <v>624</v>
      </c>
      <c r="L170" s="7"/>
      <c r="M170" s="7"/>
      <c r="N170" s="7"/>
      <c r="O170" s="7" t="s">
        <v>659</v>
      </c>
    </row>
    <row r="171" spans="1:16" ht="26" x14ac:dyDescent="0.3">
      <c r="A171" s="2">
        <v>36</v>
      </c>
      <c r="B171" s="7" t="s">
        <v>36</v>
      </c>
      <c r="C171" s="23" t="s">
        <v>1172</v>
      </c>
      <c r="D171" s="24" t="s">
        <v>1573</v>
      </c>
      <c r="E171" s="24" t="s">
        <v>1574</v>
      </c>
      <c r="F171" s="25">
        <v>1.6203703125938773E-4</v>
      </c>
      <c r="G171" s="7">
        <v>0</v>
      </c>
      <c r="H171" s="7" t="s">
        <v>1451</v>
      </c>
      <c r="I171" s="58" t="s">
        <v>1575</v>
      </c>
      <c r="J171" s="2" t="s">
        <v>21</v>
      </c>
      <c r="K171" s="7" t="s">
        <v>624</v>
      </c>
      <c r="L171" s="7"/>
      <c r="M171" s="7"/>
      <c r="N171" s="7"/>
      <c r="O171" s="7" t="s">
        <v>797</v>
      </c>
    </row>
    <row r="172" spans="1:16" ht="39" x14ac:dyDescent="0.3">
      <c r="A172" s="2">
        <v>37</v>
      </c>
      <c r="B172" s="7" t="s">
        <v>23</v>
      </c>
      <c r="C172" s="23" t="s">
        <v>1172</v>
      </c>
      <c r="D172" s="24" t="s">
        <v>1576</v>
      </c>
      <c r="E172" s="24" t="s">
        <v>1577</v>
      </c>
      <c r="F172" s="25">
        <v>8.1365740770706907E-3</v>
      </c>
      <c r="G172" s="7">
        <v>12</v>
      </c>
      <c r="H172" s="7" t="s">
        <v>1279</v>
      </c>
      <c r="I172" s="58" t="s">
        <v>1578</v>
      </c>
      <c r="J172" s="2" t="s">
        <v>540</v>
      </c>
      <c r="K172" s="7" t="s">
        <v>624</v>
      </c>
      <c r="L172" s="7"/>
      <c r="M172" s="7"/>
      <c r="N172" s="7"/>
      <c r="O172" s="7" t="s">
        <v>797</v>
      </c>
    </row>
    <row r="173" spans="1:16" s="32" customFormat="1" ht="26" x14ac:dyDescent="0.35">
      <c r="A173" s="2">
        <v>38</v>
      </c>
      <c r="B173" s="7" t="s">
        <v>36</v>
      </c>
      <c r="C173" s="23" t="s">
        <v>1172</v>
      </c>
      <c r="D173" s="24" t="s">
        <v>1579</v>
      </c>
      <c r="E173" s="24" t="s">
        <v>1580</v>
      </c>
      <c r="F173" s="25">
        <v>3.6377314812853001E-2</v>
      </c>
      <c r="G173" s="12">
        <v>52</v>
      </c>
      <c r="H173" s="7" t="s">
        <v>924</v>
      </c>
      <c r="I173" s="58" t="s">
        <v>1594</v>
      </c>
      <c r="J173" s="2" t="s">
        <v>21</v>
      </c>
      <c r="K173" s="2" t="s">
        <v>618</v>
      </c>
      <c r="L173" s="2"/>
      <c r="M173" s="2"/>
      <c r="N173" s="2"/>
      <c r="O173" s="7" t="s">
        <v>654</v>
      </c>
      <c r="P173" s="44"/>
    </row>
    <row r="174" spans="1:16" ht="26" x14ac:dyDescent="0.3">
      <c r="A174" s="2">
        <v>39</v>
      </c>
      <c r="B174" s="7" t="s">
        <v>23</v>
      </c>
      <c r="C174" s="23" t="s">
        <v>1172</v>
      </c>
      <c r="D174" s="24" t="s">
        <v>1581</v>
      </c>
      <c r="E174" s="24" t="s">
        <v>1582</v>
      </c>
      <c r="F174" s="25">
        <v>4.5486111121135764E-3</v>
      </c>
      <c r="G174" s="2">
        <v>7</v>
      </c>
      <c r="H174" s="7" t="s">
        <v>1583</v>
      </c>
      <c r="I174" s="58" t="s">
        <v>1597</v>
      </c>
      <c r="J174" s="7" t="s">
        <v>21</v>
      </c>
      <c r="K174" s="7" t="s">
        <v>618</v>
      </c>
      <c r="L174" s="46"/>
      <c r="M174" s="46"/>
      <c r="N174" s="46"/>
      <c r="O174" s="7" t="s">
        <v>1393</v>
      </c>
    </row>
  </sheetData>
  <conditionalFormatting sqref="B1:B134">
    <cfRule type="cellIs" dxfId="20" priority="59" operator="equal">
      <formula>"S2"</formula>
    </cfRule>
    <cfRule type="cellIs" dxfId="19" priority="60" operator="equal">
      <formula>"S1"</formula>
    </cfRule>
  </conditionalFormatting>
  <conditionalFormatting sqref="B1:B174">
    <cfRule type="cellIs" dxfId="18" priority="50" operator="equal">
      <formula>"S3"</formula>
    </cfRule>
  </conditionalFormatting>
  <conditionalFormatting sqref="B135">
    <cfRule type="cellIs" dxfId="17" priority="52" operator="equal">
      <formula>"S1"</formula>
    </cfRule>
  </conditionalFormatting>
  <conditionalFormatting sqref="B136:B148">
    <cfRule type="cellIs" dxfId="16" priority="40" operator="equal">
      <formula>"S2"</formula>
    </cfRule>
  </conditionalFormatting>
  <conditionalFormatting sqref="B136:B174">
    <cfRule type="cellIs" dxfId="15" priority="21" operator="equal">
      <formula>"S1"</formula>
    </cfRule>
  </conditionalFormatting>
  <conditionalFormatting sqref="B141:B148">
    <cfRule type="cellIs" dxfId="14" priority="38" operator="equal">
      <formula>"S2"</formula>
    </cfRule>
    <cfRule type="cellIs" dxfId="13" priority="39" operator="equal">
      <formula>"S1"</formula>
    </cfRule>
  </conditionalFormatting>
  <conditionalFormatting sqref="B149:B160">
    <cfRule type="cellIs" dxfId="12" priority="27" operator="equal">
      <formula>"S2"</formula>
    </cfRule>
  </conditionalFormatting>
  <conditionalFormatting sqref="B152:B160">
    <cfRule type="cellIs" dxfId="11" priority="25" operator="equal">
      <formula>"S2"</formula>
    </cfRule>
    <cfRule type="cellIs" dxfId="10" priority="26" operator="equal">
      <formula>"S1"</formula>
    </cfRule>
  </conditionalFormatting>
  <conditionalFormatting sqref="B161:B164">
    <cfRule type="cellIs" dxfId="9" priority="20" operator="equal">
      <formula>"S2"</formula>
    </cfRule>
  </conditionalFormatting>
  <conditionalFormatting sqref="B164">
    <cfRule type="cellIs" dxfId="8" priority="18" operator="equal">
      <formula>"S2"</formula>
    </cfRule>
    <cfRule type="cellIs" dxfId="7" priority="19" operator="equal">
      <formula>"S1"</formula>
    </cfRule>
  </conditionalFormatting>
  <conditionalFormatting sqref="B165:B167">
    <cfRule type="cellIs" dxfId="6" priority="15" operator="equal">
      <formula>"S2"</formula>
    </cfRule>
  </conditionalFormatting>
  <conditionalFormatting sqref="B166:B167">
    <cfRule type="cellIs" dxfId="5" priority="13" operator="equal">
      <formula>"S2"</formula>
    </cfRule>
    <cfRule type="cellIs" dxfId="4" priority="14" operator="equal">
      <formula>"S1"</formula>
    </cfRule>
  </conditionalFormatting>
  <conditionalFormatting sqref="B168:B174">
    <cfRule type="cellIs" dxfId="3" priority="3" operator="equal">
      <formula>"S2"</formula>
    </cfRule>
  </conditionalFormatting>
  <conditionalFormatting sqref="B171:B172 B174 B135">
    <cfRule type="cellIs" dxfId="2" priority="51" operator="equal">
      <formula>"S2"</formula>
    </cfRule>
  </conditionalFormatting>
  <conditionalFormatting sqref="B171:B174">
    <cfRule type="cellIs" dxfId="1" priority="2" operator="equal">
      <formula>"S1"</formula>
    </cfRule>
  </conditionalFormatting>
  <conditionalFormatting sqref="B173:B174">
    <cfRule type="cellIs" dxfId="0" priority="1" operator="equal">
      <formula>"S2"</formula>
    </cfRule>
  </conditionalFormatting>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4E95C533-22AB-457A-887C-28BDCA0BE48F}">
          <x14:formula1>
            <xm:f>'Priority Definition'!$D$2:$D$14</xm:f>
          </x14:formula1>
          <xm:sqref>J2:J1048576</xm:sqref>
        </x14:dataValidation>
        <x14:dataValidation type="list" allowBlank="1" showInputMessage="1" showErrorMessage="1" xr:uid="{05AADF58-92C9-48F8-A1B5-4AD241CC7F10}">
          <x14:formula1>
            <xm:f>'Priority Definition'!$E$2:$E$8</xm:f>
          </x14:formula1>
          <xm:sqref>K2:K1048576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EBE94-7E51-4708-936B-F536F0225F46}">
  <sheetPr codeName="Sheet2"/>
  <dimension ref="A1:E15"/>
  <sheetViews>
    <sheetView workbookViewId="0">
      <selection activeCell="E9" sqref="E9"/>
    </sheetView>
  </sheetViews>
  <sheetFormatPr defaultColWidth="17.08984375" defaultRowHeight="14.5" x14ac:dyDescent="0.35"/>
  <cols>
    <col min="2" max="2" width="18.08984375" bestFit="1" customWidth="1"/>
  </cols>
  <sheetData>
    <row r="1" spans="1:5" x14ac:dyDescent="0.35">
      <c r="A1" s="1" t="s">
        <v>1</v>
      </c>
      <c r="B1" s="1" t="s">
        <v>1051</v>
      </c>
    </row>
    <row r="2" spans="1:5" x14ac:dyDescent="0.35">
      <c r="A2" s="1" t="s">
        <v>15</v>
      </c>
      <c r="B2" s="1" t="s">
        <v>1052</v>
      </c>
      <c r="D2" s="2" t="s">
        <v>21</v>
      </c>
      <c r="E2" s="2" t="s">
        <v>33</v>
      </c>
    </row>
    <row r="3" spans="1:5" x14ac:dyDescent="0.35">
      <c r="A3" s="1" t="s">
        <v>23</v>
      </c>
      <c r="B3" s="1" t="s">
        <v>1053</v>
      </c>
      <c r="D3" s="2" t="s">
        <v>28</v>
      </c>
      <c r="E3" s="2" t="s">
        <v>22</v>
      </c>
    </row>
    <row r="4" spans="1:5" x14ac:dyDescent="0.35">
      <c r="A4" s="1" t="s">
        <v>36</v>
      </c>
      <c r="B4" s="1" t="s">
        <v>1054</v>
      </c>
      <c r="D4" s="2" t="s">
        <v>1055</v>
      </c>
      <c r="E4" s="2" t="s">
        <v>618</v>
      </c>
    </row>
    <row r="5" spans="1:5" x14ac:dyDescent="0.35">
      <c r="D5" s="2" t="s">
        <v>141</v>
      </c>
      <c r="E5" s="2" t="s">
        <v>624</v>
      </c>
    </row>
    <row r="6" spans="1:5" x14ac:dyDescent="0.35">
      <c r="D6" s="2" t="s">
        <v>52</v>
      </c>
      <c r="E6" s="2" t="s">
        <v>195</v>
      </c>
    </row>
    <row r="7" spans="1:5" x14ac:dyDescent="0.35">
      <c r="D7" s="2" t="s">
        <v>540</v>
      </c>
      <c r="E7" s="2" t="s">
        <v>175</v>
      </c>
    </row>
    <row r="8" spans="1:5" x14ac:dyDescent="0.35">
      <c r="D8" s="2" t="s">
        <v>148</v>
      </c>
      <c r="E8" s="22" t="s">
        <v>1056</v>
      </c>
    </row>
    <row r="9" spans="1:5" x14ac:dyDescent="0.35">
      <c r="D9" s="2" t="s">
        <v>334</v>
      </c>
    </row>
    <row r="10" spans="1:5" x14ac:dyDescent="0.35">
      <c r="D10" s="2" t="s">
        <v>488</v>
      </c>
    </row>
    <row r="11" spans="1:5" x14ac:dyDescent="0.35">
      <c r="D11" s="2" t="s">
        <v>1057</v>
      </c>
    </row>
    <row r="12" spans="1:5" x14ac:dyDescent="0.35">
      <c r="D12" s="2" t="s">
        <v>174</v>
      </c>
    </row>
    <row r="13" spans="1:5" x14ac:dyDescent="0.35">
      <c r="D13" s="22" t="s">
        <v>95</v>
      </c>
    </row>
    <row r="14" spans="1:5" x14ac:dyDescent="0.35">
      <c r="D14" s="22" t="s">
        <v>302</v>
      </c>
    </row>
    <row r="15" spans="1:5" x14ac:dyDescent="0.35">
      <c r="D15" s="22" t="s">
        <v>1058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DA84A84AECCD7488056167558665196" ma:contentTypeVersion="14" ma:contentTypeDescription="Create a new document." ma:contentTypeScope="" ma:versionID="c0ab45cce108b97ba77368cbc5df444d">
  <xsd:schema xmlns:xsd="http://www.w3.org/2001/XMLSchema" xmlns:xs="http://www.w3.org/2001/XMLSchema" xmlns:p="http://schemas.microsoft.com/office/2006/metadata/properties" xmlns:ns2="15b89723-ff82-4d1a-aa1a-cd07877c06a0" xmlns:ns3="28af5fc7-06b2-48f8-8ef1-be4aee28c50e" targetNamespace="http://schemas.microsoft.com/office/2006/metadata/properties" ma:root="true" ma:fieldsID="77fcddef8d95fddcd120523bb0a3476f" ns2:_="" ns3:_="">
    <xsd:import namespace="15b89723-ff82-4d1a-aa1a-cd07877c06a0"/>
    <xsd:import namespace="28af5fc7-06b2-48f8-8ef1-be4aee28c50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b89723-ff82-4d1a-aa1a-cd07877c06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2ce1e8b-73e0-43a7-ada5-9f13d7f96ab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8af5fc7-06b2-48f8-8ef1-be4aee28c50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b00683ee-e6df-45ef-a632-713cc226d555}" ma:internalName="TaxCatchAll" ma:showField="CatchAllData" ma:web="28af5fc7-06b2-48f8-8ef1-be4aee28c5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5b89723-ff82-4d1a-aa1a-cd07877c06a0">
      <Terms xmlns="http://schemas.microsoft.com/office/infopath/2007/PartnerControls"/>
    </lcf76f155ced4ddcb4097134ff3c332f>
    <TaxCatchAll xmlns="28af5fc7-06b2-48f8-8ef1-be4aee28c50e" xsi:nil="true"/>
    <SharedWithUsers xmlns="28af5fc7-06b2-48f8-8ef1-be4aee28c50e">
      <UserInfo>
        <DisplayName>Pushpak Kadu</DisplayName>
        <AccountId>274</AccountId>
        <AccountType/>
      </UserInfo>
    </SharedWithUsers>
  </documentManagement>
</p:properties>
</file>

<file path=customXml/itemProps1.xml><?xml version="1.0" encoding="utf-8"?>
<ds:datastoreItem xmlns:ds="http://schemas.openxmlformats.org/officeDocument/2006/customXml" ds:itemID="{7285027D-800B-4FA7-9AC4-5DE42CD436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b89723-ff82-4d1a-aa1a-cd07877c06a0"/>
    <ds:schemaRef ds:uri="28af5fc7-06b2-48f8-8ef1-be4aee28c5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FBCE355-1F7A-4C11-95E9-BFCA651E17CE}">
  <ds:schemaRefs>
    <ds:schemaRef ds:uri="http://schemas.microsoft.com/sharepoint/v3/contenttype/forms"/>
  </ds:schemaRefs>
</ds:datastoreItem>
</file>

<file path=customXml/itemProps3.xml><?xml version="1.0" encoding="utf-8"?>
<ds:datastoreItem xmlns:ds="http://schemas.openxmlformats.org/officeDocument/2006/customXml" ds:itemID="{6090C422-19CE-4CE5-BC1A-31FB5F9D0028}">
  <ds:schemaRefs>
    <ds:schemaRef ds:uri="http://schemas.microsoft.com/office/2006/documentManagement/types"/>
    <ds:schemaRef ds:uri="http://purl.org/dc/dcmitype/"/>
    <ds:schemaRef ds:uri="http://schemas.openxmlformats.org/package/2006/metadata/core-properties"/>
    <ds:schemaRef ds:uri="http://www.w3.org/XML/1998/namespace"/>
    <ds:schemaRef ds:uri="http://purl.org/dc/terms/"/>
    <ds:schemaRef ds:uri="http://purl.org/dc/elements/1.1/"/>
    <ds:schemaRef ds:uri="http://schemas.microsoft.com/office/2006/metadata/properties"/>
    <ds:schemaRef ds:uri="http://schemas.microsoft.com/office/infopath/2007/PartnerControls"/>
    <ds:schemaRef ds:uri="28af5fc7-06b2-48f8-8ef1-be4aee28c50e"/>
    <ds:schemaRef ds:uri="15b89723-ff82-4d1a-aa1a-cd07877c06a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 Outage</vt:lpstr>
      <vt:lpstr>POLARIN</vt:lpstr>
      <vt:lpstr>Priority Definition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Mayurkant Hatture</dc:creator>
  <cp:keywords/>
  <dc:description/>
  <cp:lastModifiedBy>Avi Bhandari</cp:lastModifiedBy>
  <cp:revision/>
  <dcterms:created xsi:type="dcterms:W3CDTF">2023-06-20T11:53:26Z</dcterms:created>
  <dcterms:modified xsi:type="dcterms:W3CDTF">2026-06-10T05:37:46Z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0x010100ADA84A84AECCD7488056167558665196</vt:lpwstr>
  </property>
  <property fmtid="{D5CDD505-2E9C-101B-9397-08002B2CF9AE}" pid="3" name="MediaServiceImageTags">
    <vt:lpwstr/>
  </property>
</Properties>
</file>